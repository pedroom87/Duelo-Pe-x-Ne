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Pedro\iCloudDrive\Pedro\JOGOS\"/>
    </mc:Choice>
  </mc:AlternateContent>
  <xr:revisionPtr revIDLastSave="0" documentId="13_ncr:1_{3915E0B0-7BE2-4B47-9F15-3A7E9673A605}" xr6:coauthVersionLast="47" xr6:coauthVersionMax="47" xr10:uidLastSave="{00000000-0000-0000-0000-000000000000}"/>
  <bookViews>
    <workbookView xWindow="-110" yWindow="-110" windowWidth="25820" windowHeight="15500" activeTab="5" xr2:uid="{00000000-000D-0000-FFFF-FFFF00000000}"/>
  </bookViews>
  <sheets>
    <sheet name="Jogos" sheetId="1" r:id="rId1"/>
    <sheet name="Artilharia" sheetId="2" r:id="rId2"/>
    <sheet name="Cartões" sheetId="3" r:id="rId3"/>
    <sheet name="Lesões" sheetId="4" r:id="rId4"/>
    <sheet name="PedroNetu" sheetId="6" r:id="rId5"/>
    <sheet name="Stats São Paulo" sheetId="7" r:id="rId6"/>
    <sheet name="Stats Palmeiras" sheetId="8" r:id="rId7"/>
    <sheet name="Estatisticas" sheetId="5" r:id="rId8"/>
  </sheets>
  <definedNames>
    <definedName name="_xlnm._FilterDatabase" localSheetId="1" hidden="1">Artilharia!$A$1:$H$49</definedName>
    <definedName name="_xlnm._FilterDatabase" localSheetId="2" hidden="1">Cartões!$A$1:$E$54</definedName>
    <definedName name="_xlnm._FilterDatabase" localSheetId="3" hidden="1">Lesões!$A$1:$C$100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H4" i="1" l="1"/>
  <c r="G31" i="7"/>
  <c r="B3" i="6"/>
  <c r="G8" i="8"/>
  <c r="G20" i="7"/>
  <c r="G21" i="7"/>
  <c r="E9" i="3"/>
  <c r="G11" i="8"/>
  <c r="E17" i="3"/>
  <c r="E31" i="3"/>
  <c r="E33" i="3"/>
  <c r="E16" i="3"/>
  <c r="E5" i="3"/>
  <c r="E56" i="3"/>
  <c r="E62" i="3"/>
  <c r="E67" i="3"/>
  <c r="E68" i="3"/>
  <c r="E63" i="3"/>
  <c r="E66" i="3"/>
  <c r="E80" i="3"/>
  <c r="E69" i="3"/>
  <c r="E81" i="3"/>
  <c r="E71" i="3"/>
  <c r="E24" i="3"/>
  <c r="E48" i="3"/>
  <c r="E22" i="3"/>
  <c r="E39" i="3"/>
  <c r="E82" i="3"/>
  <c r="E83" i="3"/>
  <c r="E58" i="3"/>
  <c r="E38" i="3"/>
  <c r="E59" i="3"/>
  <c r="E49" i="3"/>
  <c r="E60" i="3"/>
  <c r="E40" i="3"/>
  <c r="E84" i="3"/>
  <c r="E41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F2" i="4"/>
  <c r="E2" i="4"/>
  <c r="E29" i="3"/>
  <c r="E27" i="3"/>
  <c r="J3" i="3"/>
  <c r="I3" i="3"/>
  <c r="H3" i="3"/>
  <c r="G3" i="3"/>
  <c r="K2" i="2"/>
  <c r="J2" i="2"/>
  <c r="E18" i="3"/>
  <c r="G19" i="7"/>
  <c r="E70" i="3"/>
  <c r="G4" i="8"/>
  <c r="E79" i="3"/>
  <c r="E11" i="3"/>
  <c r="E12" i="3"/>
  <c r="E4" i="3"/>
  <c r="E20" i="3"/>
  <c r="E25" i="3"/>
  <c r="E28" i="3"/>
  <c r="E3" i="3"/>
  <c r="E7" i="3"/>
  <c r="E8" i="3"/>
  <c r="E13" i="3"/>
  <c r="E23" i="3"/>
  <c r="E26" i="3"/>
  <c r="E21" i="3"/>
  <c r="E44" i="3"/>
  <c r="E45" i="3"/>
  <c r="E19" i="3"/>
  <c r="E30" i="3"/>
  <c r="E42" i="3"/>
  <c r="E61" i="3"/>
  <c r="E35" i="3"/>
  <c r="E32" i="3"/>
  <c r="E46" i="3"/>
  <c r="E37" i="3"/>
  <c r="E47" i="3"/>
  <c r="E64" i="3"/>
  <c r="E65" i="3"/>
  <c r="E57" i="3"/>
  <c r="E6" i="3"/>
  <c r="E15" i="3"/>
  <c r="E36" i="3"/>
  <c r="E50" i="3"/>
  <c r="E51" i="3"/>
  <c r="E52" i="3"/>
  <c r="E53" i="3"/>
  <c r="E14" i="3"/>
  <c r="E72" i="3"/>
  <c r="E73" i="3"/>
  <c r="E74" i="3"/>
  <c r="E75" i="3"/>
  <c r="E76" i="3"/>
  <c r="E77" i="3"/>
  <c r="E78" i="3"/>
  <c r="E34" i="3"/>
  <c r="E10" i="3"/>
  <c r="E55" i="3"/>
  <c r="E54" i="3"/>
  <c r="O14" i="8"/>
  <c r="O13" i="8"/>
  <c r="O11" i="8"/>
  <c r="O12" i="8"/>
  <c r="O5" i="7"/>
  <c r="O4" i="7"/>
  <c r="O9" i="8"/>
  <c r="O8" i="8"/>
  <c r="O10" i="8"/>
  <c r="O6" i="8"/>
  <c r="O7" i="8"/>
  <c r="O4" i="8"/>
  <c r="O3" i="8"/>
  <c r="O3" i="7"/>
  <c r="O5" i="8"/>
  <c r="E2" i="3"/>
  <c r="G13" i="8"/>
  <c r="E32" i="7"/>
  <c r="G9" i="8"/>
  <c r="G22" i="8"/>
  <c r="G10" i="8"/>
  <c r="G23" i="8"/>
  <c r="G3" i="8"/>
  <c r="G5" i="8"/>
  <c r="G28" i="8"/>
  <c r="G24" i="8"/>
  <c r="G12" i="8"/>
  <c r="G29" i="8"/>
  <c r="G20" i="8"/>
  <c r="G19" i="8"/>
  <c r="G25" i="8"/>
  <c r="G6" i="8"/>
  <c r="G26" i="8"/>
  <c r="G30" i="8"/>
  <c r="G14" i="8"/>
  <c r="G15" i="8"/>
  <c r="G16" i="8"/>
  <c r="G7" i="8"/>
  <c r="G31" i="8"/>
  <c r="O15" i="8"/>
  <c r="G18" i="8"/>
  <c r="G21" i="8"/>
  <c r="G32" i="8"/>
  <c r="G27" i="8"/>
  <c r="G13" i="7"/>
  <c r="G17" i="7"/>
  <c r="G18" i="7"/>
  <c r="O8" i="7"/>
  <c r="G11" i="7"/>
  <c r="O10" i="7"/>
  <c r="G22" i="7"/>
  <c r="G5" i="7"/>
  <c r="G26" i="7"/>
  <c r="G23" i="7"/>
  <c r="O6" i="7"/>
  <c r="G12" i="7"/>
  <c r="G9" i="7"/>
  <c r="G27" i="7"/>
  <c r="O7" i="7"/>
  <c r="O9" i="7"/>
  <c r="G6" i="7"/>
  <c r="G7" i="7"/>
  <c r="G16" i="7"/>
  <c r="G3" i="7"/>
  <c r="G28" i="7"/>
  <c r="G14" i="7"/>
  <c r="G29" i="7"/>
  <c r="G24" i="7"/>
  <c r="G8" i="7"/>
  <c r="G25" i="7"/>
  <c r="G4" i="7"/>
  <c r="G30" i="7"/>
  <c r="D32" i="7"/>
  <c r="F32" i="7"/>
  <c r="F33" i="8"/>
  <c r="E33" i="8"/>
  <c r="D33" i="8"/>
  <c r="G33" i="8"/>
  <c r="G32" i="7"/>
  <c r="E3" i="6"/>
  <c r="F3" i="6"/>
  <c r="G3" i="6"/>
  <c r="E2" i="6"/>
  <c r="F2" i="6"/>
  <c r="G2" i="6"/>
  <c r="H2" i="4"/>
  <c r="L2" i="3"/>
  <c r="M2" i="2"/>
  <c r="G3" i="2"/>
  <c r="H3" i="2"/>
  <c r="G11" i="2"/>
  <c r="H11" i="2"/>
  <c r="G19" i="2"/>
  <c r="H19" i="2"/>
  <c r="G48" i="2"/>
  <c r="H48" i="2"/>
  <c r="G56" i="2"/>
  <c r="H56" i="2"/>
  <c r="G64" i="2"/>
  <c r="H64" i="2"/>
  <c r="G72" i="2"/>
  <c r="H72" i="2"/>
  <c r="G80" i="2"/>
  <c r="H80" i="2"/>
  <c r="G88" i="2"/>
  <c r="H88" i="2"/>
  <c r="G96" i="2"/>
  <c r="H96" i="2"/>
  <c r="G28" i="2"/>
  <c r="H28" i="2"/>
  <c r="G59" i="2"/>
  <c r="H59" i="2"/>
  <c r="G83" i="2"/>
  <c r="H83" i="2"/>
  <c r="G99" i="2"/>
  <c r="H99" i="2"/>
  <c r="G7" i="2"/>
  <c r="H7" i="2"/>
  <c r="G15" i="2"/>
  <c r="H15" i="2"/>
  <c r="G23" i="2"/>
  <c r="H23" i="2"/>
  <c r="G52" i="2"/>
  <c r="H52" i="2"/>
  <c r="G60" i="2"/>
  <c r="H60" i="2"/>
  <c r="G68" i="2"/>
  <c r="H68" i="2"/>
  <c r="G76" i="2"/>
  <c r="H76" i="2"/>
  <c r="G84" i="2"/>
  <c r="H84" i="2"/>
  <c r="G92" i="2"/>
  <c r="H92" i="2"/>
  <c r="G100" i="2"/>
  <c r="H100" i="2"/>
  <c r="G4" i="2"/>
  <c r="H4" i="2"/>
  <c r="G12" i="2"/>
  <c r="H12" i="2"/>
  <c r="G20" i="2"/>
  <c r="H20" i="2"/>
  <c r="G27" i="2"/>
  <c r="H27" i="2"/>
  <c r="G31" i="2"/>
  <c r="H31" i="2"/>
  <c r="G35" i="2"/>
  <c r="H35" i="2"/>
  <c r="G39" i="2"/>
  <c r="H39" i="2"/>
  <c r="G43" i="2"/>
  <c r="H43" i="2"/>
  <c r="G49" i="2"/>
  <c r="H49" i="2"/>
  <c r="G57" i="2"/>
  <c r="H57" i="2"/>
  <c r="G65" i="2"/>
  <c r="H65" i="2"/>
  <c r="G73" i="2"/>
  <c r="H73" i="2"/>
  <c r="G81" i="2"/>
  <c r="H81" i="2"/>
  <c r="G89" i="2"/>
  <c r="H89" i="2"/>
  <c r="G97" i="2"/>
  <c r="H97" i="2"/>
  <c r="G5" i="2"/>
  <c r="H5" i="2"/>
  <c r="G13" i="2"/>
  <c r="H13" i="2"/>
  <c r="G21" i="2"/>
  <c r="H21" i="2"/>
  <c r="G50" i="2"/>
  <c r="H50" i="2"/>
  <c r="G58" i="2"/>
  <c r="H58" i="2"/>
  <c r="G66" i="2"/>
  <c r="H66" i="2"/>
  <c r="G74" i="2"/>
  <c r="H74" i="2"/>
  <c r="G82" i="2"/>
  <c r="H82" i="2"/>
  <c r="G90" i="2"/>
  <c r="H90" i="2"/>
  <c r="G98" i="2"/>
  <c r="H98" i="2"/>
  <c r="G8" i="2"/>
  <c r="H8" i="2"/>
  <c r="G16" i="2"/>
  <c r="H16" i="2"/>
  <c r="G24" i="2"/>
  <c r="H24" i="2"/>
  <c r="G29" i="2"/>
  <c r="H29" i="2"/>
  <c r="G33" i="2"/>
  <c r="H33" i="2"/>
  <c r="G37" i="2"/>
  <c r="H37" i="2"/>
  <c r="G41" i="2"/>
  <c r="H41" i="2"/>
  <c r="G45" i="2"/>
  <c r="H45" i="2"/>
  <c r="G53" i="2"/>
  <c r="H53" i="2"/>
  <c r="G61" i="2"/>
  <c r="H61" i="2"/>
  <c r="G69" i="2"/>
  <c r="H69" i="2"/>
  <c r="G77" i="2"/>
  <c r="H77" i="2"/>
  <c r="G85" i="2"/>
  <c r="H85" i="2"/>
  <c r="G93" i="2"/>
  <c r="H93" i="2"/>
  <c r="G101" i="2"/>
  <c r="H101" i="2"/>
  <c r="G9" i="2"/>
  <c r="H9" i="2"/>
  <c r="G17" i="2"/>
  <c r="H17" i="2"/>
  <c r="G25" i="2"/>
  <c r="H25" i="2"/>
  <c r="G46" i="2"/>
  <c r="H46" i="2"/>
  <c r="G54" i="2"/>
  <c r="H54" i="2"/>
  <c r="G62" i="2"/>
  <c r="H62" i="2"/>
  <c r="G70" i="2"/>
  <c r="H70" i="2"/>
  <c r="G78" i="2"/>
  <c r="H78" i="2"/>
  <c r="G86" i="2"/>
  <c r="H86" i="2"/>
  <c r="G94" i="2"/>
  <c r="H94" i="2"/>
  <c r="G2" i="2"/>
  <c r="H2" i="2"/>
  <c r="G10" i="2"/>
  <c r="H10" i="2"/>
  <c r="G18" i="2"/>
  <c r="H18" i="2"/>
  <c r="G26" i="2"/>
  <c r="H26" i="2"/>
  <c r="G30" i="2"/>
  <c r="H30" i="2"/>
  <c r="G34" i="2"/>
  <c r="H34" i="2"/>
  <c r="G38" i="2"/>
  <c r="H38" i="2"/>
  <c r="G42" i="2"/>
  <c r="H42" i="2"/>
  <c r="G47" i="2"/>
  <c r="H47" i="2"/>
  <c r="G55" i="2"/>
  <c r="H55" i="2"/>
  <c r="H63" i="2"/>
  <c r="G71" i="2"/>
  <c r="H71" i="2"/>
  <c r="G79" i="2"/>
  <c r="H79" i="2"/>
  <c r="G87" i="2"/>
  <c r="H87" i="2"/>
  <c r="G95" i="2"/>
  <c r="H95" i="2"/>
  <c r="G6" i="2"/>
  <c r="H6" i="2"/>
  <c r="G14" i="2"/>
  <c r="H14" i="2"/>
  <c r="G22" i="2"/>
  <c r="H22" i="2"/>
  <c r="G32" i="2"/>
  <c r="H32" i="2"/>
  <c r="G36" i="2"/>
  <c r="H36" i="2"/>
  <c r="G40" i="2"/>
  <c r="H40" i="2"/>
  <c r="G44" i="2"/>
  <c r="H44" i="2"/>
  <c r="G51" i="2"/>
  <c r="H51" i="2"/>
  <c r="G67" i="2"/>
  <c r="H67" i="2"/>
  <c r="G75" i="2"/>
  <c r="H75" i="2"/>
  <c r="G91" i="2"/>
  <c r="H91" i="2"/>
  <c r="F3" i="4"/>
  <c r="E3" i="4"/>
  <c r="H4" i="3"/>
  <c r="I4" i="3"/>
  <c r="J4" i="3"/>
  <c r="G4" i="3"/>
  <c r="K3" i="2"/>
  <c r="J3" i="2"/>
</calcChain>
</file>

<file path=xl/sharedStrings.xml><?xml version="1.0" encoding="utf-8"?>
<sst xmlns="http://schemas.openxmlformats.org/spreadsheetml/2006/main" count="4503" uniqueCount="737">
  <si>
    <t>1º JOGO</t>
  </si>
  <si>
    <t>PEDRO</t>
  </si>
  <si>
    <t>NETU</t>
  </si>
  <si>
    <t>2º JOGO</t>
  </si>
  <si>
    <t>EMPATE 0x0 - PENALTES 4x3</t>
  </si>
  <si>
    <t>3º JOGO</t>
  </si>
  <si>
    <t>4º JOGO</t>
  </si>
  <si>
    <t>PENALTES 4x5</t>
  </si>
  <si>
    <t>5º JOGO</t>
  </si>
  <si>
    <t>PLACAR GERAL</t>
  </si>
  <si>
    <t>Fernandinho</t>
  </si>
  <si>
    <t>Dagoberto</t>
  </si>
  <si>
    <t>Henrique</t>
  </si>
  <si>
    <t>Lucas</t>
  </si>
  <si>
    <t>Willian José</t>
  </si>
  <si>
    <t>Kleber</t>
  </si>
  <si>
    <t>Vinicius</t>
  </si>
  <si>
    <t>Adriano M. Jackson</t>
  </si>
  <si>
    <t>VERMELHO</t>
  </si>
  <si>
    <t>AMARELO</t>
  </si>
  <si>
    <t>Valdivia</t>
  </si>
  <si>
    <t>Marcos Assunção</t>
  </si>
  <si>
    <t>Luan</t>
  </si>
  <si>
    <t>João Vitor</t>
  </si>
  <si>
    <t>GOLS</t>
  </si>
  <si>
    <t>LESÃO</t>
  </si>
  <si>
    <t>6º JOGO</t>
  </si>
  <si>
    <t>7º JOGO</t>
  </si>
  <si>
    <t>8º JOGO</t>
  </si>
  <si>
    <t>Carlinhos Paraiba</t>
  </si>
  <si>
    <t>Miranda</t>
  </si>
  <si>
    <t>Danilo</t>
  </si>
  <si>
    <t>9º JOGO</t>
  </si>
  <si>
    <t>10º JOGO</t>
  </si>
  <si>
    <t>Rivaldo</t>
  </si>
  <si>
    <t>Marcio Araujo</t>
  </si>
  <si>
    <t>11º JOGO</t>
  </si>
  <si>
    <t>12º JOGO</t>
  </si>
  <si>
    <t>Miguel</t>
  </si>
  <si>
    <t>Marlos</t>
  </si>
  <si>
    <t>Ilsinho</t>
  </si>
  <si>
    <t>13º JOGO</t>
  </si>
  <si>
    <t>14º JOGO</t>
  </si>
  <si>
    <t>Gabriel Silva</t>
  </si>
  <si>
    <t>Alex Silva</t>
  </si>
  <si>
    <t>15º JOGO</t>
  </si>
  <si>
    <t>Cicinho</t>
  </si>
  <si>
    <t>SUSPENSÃO</t>
  </si>
  <si>
    <t>Luis Fabiano</t>
  </si>
  <si>
    <t>CONTRA</t>
  </si>
  <si>
    <t>Jean</t>
  </si>
  <si>
    <t>Thiago Heleno</t>
  </si>
  <si>
    <t>Dinei</t>
  </si>
  <si>
    <t>16º JOGO</t>
  </si>
  <si>
    <t>17º JOGO</t>
  </si>
  <si>
    <t>18º JOGO</t>
  </si>
  <si>
    <t>19º JOGO</t>
  </si>
  <si>
    <t>Lincoln</t>
  </si>
  <si>
    <t>20º JOGO</t>
  </si>
  <si>
    <t>PENALTES 2X4</t>
  </si>
  <si>
    <t>21º JOGO</t>
  </si>
  <si>
    <t>Pierre</t>
  </si>
  <si>
    <t>Tinga</t>
  </si>
  <si>
    <t>Cleber Santana</t>
  </si>
  <si>
    <t>Mauricio Ramos</t>
  </si>
  <si>
    <t>22º JOGO</t>
  </si>
  <si>
    <t>23º JOGO</t>
  </si>
  <si>
    <t>24º JOGO</t>
  </si>
  <si>
    <t>25º JOGO</t>
  </si>
  <si>
    <t>Rhodolfo</t>
  </si>
  <si>
    <t>26º JOGO</t>
  </si>
  <si>
    <t>Rogerio Ceni</t>
  </si>
  <si>
    <t>Fernandão</t>
  </si>
  <si>
    <t>Max Santos</t>
  </si>
  <si>
    <t>27º JOGO</t>
  </si>
  <si>
    <t>INDICISPLINA</t>
  </si>
  <si>
    <t>GOLEADA</t>
  </si>
  <si>
    <t>25º Jogo</t>
  </si>
  <si>
    <t>2 Amarelos</t>
  </si>
  <si>
    <t>7 Amarelos</t>
  </si>
  <si>
    <t>0 Vermelho</t>
  </si>
  <si>
    <t>SARRAFADA</t>
  </si>
  <si>
    <t>SEQUENCIA DE VITORIAS</t>
  </si>
  <si>
    <t>RECORDE GOLS</t>
  </si>
  <si>
    <t>28º JOGO</t>
  </si>
  <si>
    <t>W. Paulista</t>
  </si>
  <si>
    <t>Wellington Paulista</t>
  </si>
  <si>
    <t>Casemiro</t>
  </si>
  <si>
    <t>Chico</t>
  </si>
  <si>
    <t>29º JOGO</t>
  </si>
  <si>
    <t>30º JOGO</t>
  </si>
  <si>
    <t>31º JOGO</t>
  </si>
  <si>
    <t>32º JOGO</t>
  </si>
  <si>
    <t>33º JOGO</t>
  </si>
  <si>
    <t>34º JOGO</t>
  </si>
  <si>
    <t>35º JOGO</t>
  </si>
  <si>
    <t>36º JOGO</t>
  </si>
  <si>
    <t>37º JOGO</t>
  </si>
  <si>
    <t>Luiz Felipe</t>
  </si>
  <si>
    <t>38º JOGO</t>
  </si>
  <si>
    <t>39º JOGO</t>
  </si>
  <si>
    <t>40º JOGO</t>
  </si>
  <si>
    <t>41º JOGO</t>
  </si>
  <si>
    <t>42º JOGO</t>
  </si>
  <si>
    <t>43º JOGO</t>
  </si>
  <si>
    <t>44º JOGO</t>
  </si>
  <si>
    <t>8 Gols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</si>
  <si>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</si>
  <si>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</si>
  <si>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</si>
  <si>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</si>
  <si>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</si>
  <si>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</si>
  <si>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</si>
  <si>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</si>
  <si>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</si>
  <si>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</si>
  <si>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</si>
  <si>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</si>
  <si>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</si>
  <si>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</si>
  <si>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</si>
  <si>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</si>
  <si>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</si>
  <si>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</si>
  <si>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</si>
  <si>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</si>
  <si>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</si>
  <si>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</si>
  <si>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</si>
  <si>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24º</t>
  </si>
  <si>
    <t>25º</t>
  </si>
  <si>
    <t>26º</t>
  </si>
  <si>
    <t>27º</t>
  </si>
  <si>
    <t>3 Jogos</t>
  </si>
  <si>
    <t>45º JOGO</t>
  </si>
  <si>
    <t>46º JOGO</t>
  </si>
  <si>
    <t>PENALTES 2x4</t>
  </si>
  <si>
    <t>47º JOGO</t>
  </si>
  <si>
    <t>48º JOGO</t>
  </si>
  <si>
    <t>49º JOGO</t>
  </si>
  <si>
    <t>50º JOGO</t>
  </si>
  <si>
    <t>28º</t>
  </si>
  <si>
    <t>Gustavo Bastos</t>
  </si>
  <si>
    <t>Gualberto</t>
  </si>
  <si>
    <t>Juan</t>
  </si>
  <si>
    <t>51º JOGO</t>
  </si>
  <si>
    <t>52º JOGO</t>
  </si>
  <si>
    <t>53º JOGO</t>
  </si>
  <si>
    <t>54º JOGO</t>
  </si>
  <si>
    <t>55º JOGO</t>
  </si>
  <si>
    <t>56º JOGO</t>
  </si>
  <si>
    <t>57º JOGO</t>
  </si>
  <si>
    <t>58º JOGO</t>
  </si>
  <si>
    <t>59º JOGO</t>
  </si>
  <si>
    <t>60º JOGO</t>
  </si>
  <si>
    <t>Adriano</t>
  </si>
  <si>
    <t>61º JOGO</t>
  </si>
  <si>
    <t>62º JOGO</t>
  </si>
  <si>
    <t>63º JOGO</t>
  </si>
  <si>
    <t>64º JOGO</t>
  </si>
  <si>
    <t>65º JOGO</t>
  </si>
  <si>
    <t>66º JOGO</t>
  </si>
  <si>
    <t>67º JOGO</t>
  </si>
  <si>
    <t>68º JOGO</t>
  </si>
  <si>
    <t>São Paulo</t>
  </si>
  <si>
    <t>Palmeiras</t>
  </si>
  <si>
    <t>Jogos</t>
  </si>
  <si>
    <t>29º</t>
  </si>
  <si>
    <t>Amarelo</t>
  </si>
  <si>
    <t>Vermelho</t>
  </si>
  <si>
    <t>4 Lesionados</t>
  </si>
  <si>
    <t>5 Vermelhos</t>
  </si>
  <si>
    <t>71º Jogo</t>
  </si>
  <si>
    <t>69º JOGO</t>
  </si>
  <si>
    <t>70º JOGO</t>
  </si>
  <si>
    <t>71º JOGO</t>
  </si>
  <si>
    <t>72º JOGO</t>
  </si>
  <si>
    <t>73º JOGO</t>
  </si>
  <si>
    <t>74º JOGO</t>
  </si>
  <si>
    <t>Leandro Amaro</t>
  </si>
  <si>
    <t>Paulo Henrique</t>
  </si>
  <si>
    <t>Andrade</t>
  </si>
  <si>
    <t>31º</t>
  </si>
  <si>
    <t>75º JOGO</t>
  </si>
  <si>
    <t>76º JOGO</t>
  </si>
  <si>
    <t>77º JOGO</t>
  </si>
  <si>
    <t>78º JOGO</t>
  </si>
  <si>
    <t>79º JOGO</t>
  </si>
  <si>
    <t>JOGOS</t>
  </si>
  <si>
    <t>Marcos</t>
  </si>
  <si>
    <t>32º</t>
  </si>
  <si>
    <t>33º</t>
  </si>
  <si>
    <t>80º JOGO</t>
  </si>
  <si>
    <t>81º JOGO</t>
  </si>
  <si>
    <t>82º JOGO</t>
  </si>
  <si>
    <t>83º JOGO</t>
  </si>
  <si>
    <t>84º JOGO</t>
  </si>
  <si>
    <t>85º JOGO</t>
  </si>
  <si>
    <t>86º JOGO</t>
  </si>
  <si>
    <t>Netu</t>
  </si>
  <si>
    <t>Pedro</t>
  </si>
  <si>
    <t>34º</t>
  </si>
  <si>
    <t>ASSISTÊNCIAS</t>
  </si>
  <si>
    <t>MÉDIA</t>
  </si>
  <si>
    <t>35º</t>
  </si>
  <si>
    <t>87º JOGO</t>
  </si>
  <si>
    <t>PENALTES 2x3</t>
  </si>
  <si>
    <t>89º JOGO</t>
  </si>
  <si>
    <t>88º JOGO</t>
  </si>
  <si>
    <t>90º JOGO</t>
  </si>
  <si>
    <t>91º JOGO</t>
  </si>
  <si>
    <t>92º JOGO</t>
  </si>
  <si>
    <t>2 Lesionado</t>
  </si>
  <si>
    <t>91º Jogo</t>
  </si>
  <si>
    <t>87º - 89º</t>
  </si>
  <si>
    <t>Rodrigo Souto</t>
  </si>
  <si>
    <t>93º JOGO</t>
  </si>
  <si>
    <t>PENALTES 3X4</t>
  </si>
  <si>
    <t>94º JOGO</t>
  </si>
  <si>
    <t>95º JOGO</t>
  </si>
  <si>
    <t>96º JOGO</t>
  </si>
  <si>
    <t>97º JOGO</t>
  </si>
  <si>
    <t>98º JOGO</t>
  </si>
  <si>
    <t>ÍNICIO</t>
  </si>
  <si>
    <t>ATUAL</t>
  </si>
  <si>
    <t>36º</t>
  </si>
  <si>
    <t>37º</t>
  </si>
  <si>
    <t>Denilson</t>
  </si>
  <si>
    <t>Cicero</t>
  </si>
  <si>
    <t>99º JOGO</t>
  </si>
  <si>
    <t>L. Fabiano</t>
  </si>
  <si>
    <t>100º JOGO</t>
  </si>
  <si>
    <t>M. Assunção</t>
  </si>
  <si>
    <t>101º JOGO</t>
  </si>
  <si>
    <t>102º JOGO</t>
  </si>
  <si>
    <t>103º JOGO</t>
  </si>
  <si>
    <t>104º JOGO</t>
  </si>
  <si>
    <t>105º JOGO</t>
  </si>
  <si>
    <t>106º JOGO</t>
  </si>
  <si>
    <t>38º</t>
  </si>
  <si>
    <t>39º</t>
  </si>
  <si>
    <t>107º JOGO</t>
  </si>
  <si>
    <t>PENALTES 3x1</t>
  </si>
  <si>
    <t>Maikon Leite</t>
  </si>
  <si>
    <t>40º</t>
  </si>
  <si>
    <t>41º</t>
  </si>
  <si>
    <t>108º JOGO</t>
  </si>
  <si>
    <t>Xandão</t>
  </si>
  <si>
    <t>Rogério Ceni</t>
  </si>
  <si>
    <t>PSD</t>
  </si>
  <si>
    <t>Brazukas</t>
  </si>
  <si>
    <t>FM</t>
  </si>
  <si>
    <t>Cortês</t>
  </si>
  <si>
    <t>Ivan Piris</t>
  </si>
  <si>
    <t>Dênis</t>
  </si>
  <si>
    <t>Henrique Miranda</t>
  </si>
  <si>
    <t>William José</t>
  </si>
  <si>
    <t>Cañete</t>
  </si>
  <si>
    <t>Bruno Uvini</t>
  </si>
  <si>
    <t>Wellington</t>
  </si>
  <si>
    <t>Rodrigo Caio</t>
  </si>
  <si>
    <t>Dener</t>
  </si>
  <si>
    <t>Luiz Eduardo</t>
  </si>
  <si>
    <t>Maicon</t>
  </si>
  <si>
    <t>João Filipe</t>
  </si>
  <si>
    <t>Leo</t>
  </si>
  <si>
    <t>Leonardo</t>
  </si>
  <si>
    <t>Edson Silva</t>
  </si>
  <si>
    <t>Fabricio</t>
  </si>
  <si>
    <t>Deola</t>
  </si>
  <si>
    <t>Maurício Ramos</t>
  </si>
  <si>
    <t>A. Roman</t>
  </si>
  <si>
    <t>Vítor</t>
  </si>
  <si>
    <t>Bruno</t>
  </si>
  <si>
    <t>Juninho</t>
  </si>
  <si>
    <t>Didi</t>
  </si>
  <si>
    <t>Márcio Araújo</t>
  </si>
  <si>
    <t>Wendel</t>
  </si>
  <si>
    <t>João Vítor</t>
  </si>
  <si>
    <t>Valdívia</t>
  </si>
  <si>
    <t>Pedro Carmona</t>
  </si>
  <si>
    <t>Patrik</t>
  </si>
  <si>
    <t>Patrick Vieira</t>
  </si>
  <si>
    <t>Vinícius</t>
  </si>
  <si>
    <t>Paulo Miranda</t>
  </si>
  <si>
    <t>ZC</t>
  </si>
  <si>
    <t>MAT</t>
  </si>
  <si>
    <t>MLG</t>
  </si>
  <si>
    <t>LE</t>
  </si>
  <si>
    <t>VOL</t>
  </si>
  <si>
    <t>GO</t>
  </si>
  <si>
    <t>SA</t>
  </si>
  <si>
    <t>LD</t>
  </si>
  <si>
    <t>MLD</t>
  </si>
  <si>
    <t>CA</t>
  </si>
  <si>
    <t>Fabio</t>
  </si>
  <si>
    <t>PTD</t>
  </si>
  <si>
    <t>PTE</t>
  </si>
  <si>
    <t>Nº</t>
  </si>
  <si>
    <t>POS</t>
  </si>
  <si>
    <t>Vitor</t>
  </si>
  <si>
    <t>42º</t>
  </si>
  <si>
    <t>43º</t>
  </si>
  <si>
    <t>109º JOGO</t>
  </si>
  <si>
    <t>M. Leite</t>
  </si>
  <si>
    <t>110º JOGO</t>
  </si>
  <si>
    <t>Adalberto Roman</t>
  </si>
  <si>
    <t>111º JOGO</t>
  </si>
  <si>
    <t>112º JOGO</t>
  </si>
  <si>
    <t>113º JOGO</t>
  </si>
  <si>
    <t>114º JOGO</t>
  </si>
  <si>
    <t>115º JOGO</t>
  </si>
  <si>
    <t>W. José</t>
  </si>
  <si>
    <t>116º JOGO</t>
  </si>
  <si>
    <t>T. Heleno</t>
  </si>
  <si>
    <t>117º JOGO</t>
  </si>
  <si>
    <t>M. Ramos</t>
  </si>
  <si>
    <t>118º JOGO</t>
  </si>
  <si>
    <t>119º JOGO</t>
  </si>
  <si>
    <t>120º JOGO</t>
  </si>
  <si>
    <t>121º JOGO</t>
  </si>
  <si>
    <t>122º JOGO</t>
  </si>
  <si>
    <t>123º JOGO</t>
  </si>
  <si>
    <t>124º JOGO</t>
  </si>
  <si>
    <t>125º JOGO</t>
  </si>
  <si>
    <t>A. Romam</t>
  </si>
  <si>
    <t>126º JOGO</t>
  </si>
  <si>
    <t>12 Jogos</t>
  </si>
  <si>
    <t>114º - 125º</t>
  </si>
  <si>
    <t>127º JOGO</t>
  </si>
  <si>
    <t>Carleto</t>
  </si>
  <si>
    <t>45º</t>
  </si>
  <si>
    <t>128º JOGO</t>
  </si>
  <si>
    <t>129º JOGO</t>
  </si>
  <si>
    <t>130º JOGO</t>
  </si>
  <si>
    <t>131º JOGO</t>
  </si>
  <si>
    <t>Jádson</t>
  </si>
  <si>
    <t>Daniel Carvalho</t>
  </si>
  <si>
    <t>PENALTES 4X1</t>
  </si>
  <si>
    <t>132º JOGO</t>
  </si>
  <si>
    <t>133º JOGO</t>
  </si>
  <si>
    <t>P. Miranda</t>
  </si>
  <si>
    <t>135º JOGO</t>
  </si>
  <si>
    <t>134º JOGO</t>
  </si>
  <si>
    <t>136º JOGO</t>
  </si>
  <si>
    <t>137º JOGO</t>
  </si>
  <si>
    <t>Plantel 2012</t>
  </si>
  <si>
    <t>Emprestados 2012</t>
  </si>
  <si>
    <t>Denílson</t>
  </si>
  <si>
    <t>Carlinhos Paraíba</t>
  </si>
  <si>
    <t>Marcio Araújo</t>
  </si>
  <si>
    <t>C. Paraíba</t>
  </si>
  <si>
    <t>M. Araújo</t>
  </si>
  <si>
    <t>I. Píris</t>
  </si>
  <si>
    <t>ROD. INICIAL</t>
  </si>
  <si>
    <t>Tadeu</t>
  </si>
  <si>
    <t>Mauricio</t>
  </si>
  <si>
    <t>Willian</t>
  </si>
  <si>
    <t>Deyvid Sacconi</t>
  </si>
  <si>
    <t>Daniel Lovinho</t>
  </si>
  <si>
    <t>Oeste</t>
  </si>
  <si>
    <t>Omiya Ardija</t>
  </si>
  <si>
    <t>Fluminense</t>
  </si>
  <si>
    <t>Sporting</t>
  </si>
  <si>
    <t>Goias</t>
  </si>
  <si>
    <t>Anselmo</t>
  </si>
  <si>
    <t>Souza</t>
  </si>
  <si>
    <t>São Caetano</t>
  </si>
  <si>
    <t>Atletico Mineiro</t>
  </si>
  <si>
    <t>Avai</t>
  </si>
  <si>
    <t>46º</t>
  </si>
  <si>
    <t>Hernán Barcos</t>
  </si>
  <si>
    <t>David Sacconi</t>
  </si>
  <si>
    <t>30º</t>
  </si>
  <si>
    <t>44º</t>
  </si>
  <si>
    <t>Piris</t>
  </si>
  <si>
    <t>Barcos</t>
  </si>
  <si>
    <t>138º JOGO</t>
  </si>
  <si>
    <t>139º JOGO</t>
  </si>
  <si>
    <t>140º JOGO</t>
  </si>
  <si>
    <t>141º JOGO</t>
  </si>
  <si>
    <t>142º JOGO</t>
  </si>
  <si>
    <t>143º JOGO</t>
  </si>
  <si>
    <t>144º JOGO</t>
  </si>
  <si>
    <t>145º JOGO</t>
  </si>
  <si>
    <t>D. Sacconi</t>
  </si>
  <si>
    <t>146º JOGO</t>
  </si>
  <si>
    <t>147º JOGO</t>
  </si>
  <si>
    <t>R. Ceni</t>
  </si>
  <si>
    <t>47º</t>
  </si>
  <si>
    <t>148º JOGO</t>
  </si>
  <si>
    <t>149º JOGO</t>
  </si>
  <si>
    <t>150º JOGO</t>
  </si>
  <si>
    <t>151º JOGO</t>
  </si>
  <si>
    <t>152º JOGO</t>
  </si>
  <si>
    <t>D. Carvalho</t>
  </si>
  <si>
    <t>153º JOGO</t>
  </si>
  <si>
    <t>Osvaldo</t>
  </si>
  <si>
    <t xml:space="preserve"> </t>
  </si>
  <si>
    <t>48º</t>
  </si>
  <si>
    <t>49º</t>
  </si>
  <si>
    <t>50º</t>
  </si>
  <si>
    <t>51º</t>
  </si>
  <si>
    <t>52º</t>
  </si>
  <si>
    <t>53º</t>
  </si>
  <si>
    <t>54º</t>
  </si>
  <si>
    <t>55º</t>
  </si>
  <si>
    <t>56º</t>
  </si>
  <si>
    <t>57º</t>
  </si>
  <si>
    <t>58º</t>
  </si>
  <si>
    <t>59º</t>
  </si>
  <si>
    <t>60º</t>
  </si>
  <si>
    <t>61º</t>
  </si>
  <si>
    <t>62º</t>
  </si>
  <si>
    <t>63º</t>
  </si>
  <si>
    <t>64º</t>
  </si>
  <si>
    <t>65º</t>
  </si>
  <si>
    <t>66º</t>
  </si>
  <si>
    <t>67º</t>
  </si>
  <si>
    <t>68º</t>
  </si>
  <si>
    <t>69º</t>
  </si>
  <si>
    <t>70º</t>
  </si>
  <si>
    <t>71º</t>
  </si>
  <si>
    <t>72º</t>
  </si>
  <si>
    <t>73º</t>
  </si>
  <si>
    <t>74º</t>
  </si>
  <si>
    <t>75º</t>
  </si>
  <si>
    <t>76º</t>
  </si>
  <si>
    <t>77º</t>
  </si>
  <si>
    <t>78º</t>
  </si>
  <si>
    <t>79º</t>
  </si>
  <si>
    <t>80º</t>
  </si>
  <si>
    <t>81º</t>
  </si>
  <si>
    <t>82º</t>
  </si>
  <si>
    <t>83º</t>
  </si>
  <si>
    <t>84º</t>
  </si>
  <si>
    <t>85º</t>
  </si>
  <si>
    <t>86º</t>
  </si>
  <si>
    <t>87º</t>
  </si>
  <si>
    <t>88º</t>
  </si>
  <si>
    <t>89º</t>
  </si>
  <si>
    <t>90º</t>
  </si>
  <si>
    <t>91º</t>
  </si>
  <si>
    <t>92º</t>
  </si>
  <si>
    <t>93º</t>
  </si>
  <si>
    <t>94º</t>
  </si>
  <si>
    <t>95º</t>
  </si>
  <si>
    <t>96º</t>
  </si>
  <si>
    <t>97º</t>
  </si>
  <si>
    <t>98º</t>
  </si>
  <si>
    <t>99º</t>
  </si>
  <si>
    <t>100º</t>
  </si>
  <si>
    <t>SPO</t>
  </si>
  <si>
    <t>PAL</t>
  </si>
  <si>
    <t>TIME</t>
  </si>
  <si>
    <t>JOGADOR</t>
  </si>
  <si>
    <t>COLOC.</t>
  </si>
  <si>
    <t>Jadson</t>
  </si>
  <si>
    <t>154º JOGO</t>
  </si>
  <si>
    <t>155º JOGO</t>
  </si>
  <si>
    <t>156º JOGO</t>
  </si>
  <si>
    <t>157º JOGO</t>
  </si>
  <si>
    <t>158º JOGO</t>
  </si>
  <si>
    <t>Arthur</t>
  </si>
  <si>
    <t>159º JOGO</t>
  </si>
  <si>
    <t>M. Araujo</t>
  </si>
  <si>
    <t>160º JOGO</t>
  </si>
  <si>
    <t>161º JOGO</t>
  </si>
  <si>
    <t>162º JOGO</t>
  </si>
  <si>
    <t>163º JOGO</t>
  </si>
  <si>
    <t>164º JOGO</t>
  </si>
  <si>
    <t>Granada</t>
  </si>
  <si>
    <t>Artur</t>
  </si>
  <si>
    <t>165º JOGO</t>
  </si>
  <si>
    <t>166º JOGO</t>
  </si>
  <si>
    <t>167º JOGO</t>
  </si>
  <si>
    <t>Hernan Bracos</t>
  </si>
  <si>
    <t>Wesley</t>
  </si>
  <si>
    <t>Nilmar</t>
  </si>
  <si>
    <t>Hérnan Barcos</t>
  </si>
  <si>
    <t>168º JOGO</t>
  </si>
  <si>
    <t>Cortes</t>
  </si>
  <si>
    <t>169º JOGO</t>
  </si>
  <si>
    <t>PENALTES 1X4</t>
  </si>
  <si>
    <t>170º JOGO</t>
  </si>
  <si>
    <t>171º JOGO</t>
  </si>
  <si>
    <t>Roman</t>
  </si>
  <si>
    <t>172º JOGO</t>
  </si>
  <si>
    <t>173º JOGO</t>
  </si>
  <si>
    <t>174º JOGO</t>
  </si>
  <si>
    <t>175º JOGO</t>
  </si>
  <si>
    <t>Santos</t>
  </si>
  <si>
    <t>Los Angeles Galaxy</t>
  </si>
  <si>
    <t>Douglas</t>
  </si>
  <si>
    <t>176º JOGO</t>
  </si>
  <si>
    <t>177º JOGO</t>
  </si>
  <si>
    <t>178º JOGO</t>
  </si>
  <si>
    <t>179º JOGO</t>
  </si>
  <si>
    <t>Adalberto Román</t>
  </si>
  <si>
    <t>Ademilson</t>
  </si>
  <si>
    <t>Rafinha</t>
  </si>
  <si>
    <t>Pegorari</t>
  </si>
  <si>
    <t>Raphael Alemão</t>
  </si>
  <si>
    <t>180º JOGO</t>
  </si>
  <si>
    <t>181º JOGO</t>
  </si>
  <si>
    <t>182º JOGO</t>
  </si>
  <si>
    <t>183º JOGO</t>
  </si>
  <si>
    <t>J. Vitor</t>
  </si>
  <si>
    <t>184º JOGO</t>
  </si>
  <si>
    <t>185º JOGO</t>
  </si>
  <si>
    <t>PENALTES 3x4</t>
  </si>
  <si>
    <t>186º JOGO</t>
  </si>
  <si>
    <t>187º JOGO</t>
  </si>
  <si>
    <t>Canete</t>
  </si>
  <si>
    <t>188º JOGO</t>
  </si>
  <si>
    <t>189º JOGO</t>
  </si>
  <si>
    <t>190º JOGO</t>
  </si>
  <si>
    <t>191º JOGO</t>
  </si>
  <si>
    <t>192º JOGO</t>
  </si>
  <si>
    <t>193º JOGO</t>
  </si>
  <si>
    <t>194º JOGO</t>
  </si>
  <si>
    <t>195º JOGO</t>
  </si>
  <si>
    <t>PENALTES 3x2</t>
  </si>
  <si>
    <t>196º JOGO</t>
  </si>
  <si>
    <t>197º JOGO</t>
  </si>
  <si>
    <t>198º JOGO</t>
  </si>
  <si>
    <t>199º JOGO</t>
  </si>
  <si>
    <t>187º Jogo</t>
  </si>
  <si>
    <t>200º JOGO</t>
  </si>
  <si>
    <t>201º JOGO</t>
  </si>
  <si>
    <t>202º JOGO</t>
  </si>
  <si>
    <t>203º JOGO</t>
  </si>
  <si>
    <t>204º JOGO</t>
  </si>
  <si>
    <t>205º JOGO</t>
  </si>
  <si>
    <t>206º JOGO</t>
  </si>
  <si>
    <t>207º JOGO</t>
  </si>
  <si>
    <t>208º JOGO</t>
  </si>
  <si>
    <t>209º JOGO</t>
  </si>
  <si>
    <t>210º JOGO</t>
  </si>
  <si>
    <t>211º JOGO</t>
  </si>
  <si>
    <t>212º JOGO</t>
  </si>
  <si>
    <t>213º JOGO</t>
  </si>
  <si>
    <t>214º JOGO</t>
  </si>
  <si>
    <t>215º JOGO</t>
  </si>
  <si>
    <t>216º JOGO</t>
  </si>
  <si>
    <t>217º JOGO</t>
  </si>
  <si>
    <t>218º JOGO</t>
  </si>
  <si>
    <t>219º JOGO</t>
  </si>
  <si>
    <t>220º JOGO</t>
  </si>
  <si>
    <t>221º JOGO</t>
  </si>
  <si>
    <t>222º JOGO</t>
  </si>
  <si>
    <t>223º JOGO</t>
  </si>
  <si>
    <t>PENALTES 3x5</t>
  </si>
  <si>
    <t>224º JOGO</t>
  </si>
  <si>
    <t>225º JOGO</t>
  </si>
  <si>
    <t>226º JOGO</t>
  </si>
  <si>
    <t>227º JOGO</t>
  </si>
  <si>
    <t>228º JOGO</t>
  </si>
  <si>
    <t>229º JOGO</t>
  </si>
  <si>
    <t>230º JOGO</t>
  </si>
  <si>
    <t>Oscar</t>
  </si>
  <si>
    <t>231º JOGO</t>
  </si>
  <si>
    <t>241º JOGO</t>
  </si>
  <si>
    <t>232º JOGO</t>
  </si>
  <si>
    <t>233º JOGO</t>
  </si>
  <si>
    <t>234º JOGO</t>
  </si>
  <si>
    <t>PENALTES 1x3</t>
  </si>
  <si>
    <t>235º JOGO</t>
  </si>
  <si>
    <t>236º JOGO</t>
  </si>
  <si>
    <t>237º JOGO</t>
  </si>
  <si>
    <t>238º JOGO</t>
  </si>
  <si>
    <t>239º JOGO</t>
  </si>
  <si>
    <t>240º JOGO</t>
  </si>
  <si>
    <t>242º JOGO</t>
  </si>
  <si>
    <t>243º JOGO</t>
  </si>
  <si>
    <t>L. Amaro</t>
  </si>
  <si>
    <t>PENATES 2x0</t>
  </si>
  <si>
    <t>244º JOGO</t>
  </si>
  <si>
    <t>245º JOGO</t>
  </si>
  <si>
    <t>246º JOGO</t>
  </si>
  <si>
    <t>247º JOGO</t>
  </si>
  <si>
    <t>248º JOGO</t>
  </si>
  <si>
    <t>249º JOGO</t>
  </si>
  <si>
    <t>250º JOGO</t>
  </si>
  <si>
    <t>251º JOGO</t>
  </si>
  <si>
    <t>Paulista</t>
  </si>
  <si>
    <t>Betinho</t>
  </si>
  <si>
    <t>Rafael Tolói</t>
  </si>
  <si>
    <t>Mazinho</t>
  </si>
  <si>
    <t>252º JOGO</t>
  </si>
  <si>
    <t>253º JOGO</t>
  </si>
  <si>
    <t>254º JOGO</t>
  </si>
  <si>
    <t>255º JOGO</t>
  </si>
  <si>
    <t>PENALTES 4x6</t>
  </si>
  <si>
    <t>256º JOGO</t>
  </si>
  <si>
    <t>257º JOGO</t>
  </si>
  <si>
    <t>258º JOGO</t>
  </si>
  <si>
    <t>259º JOGO</t>
  </si>
  <si>
    <t>260º JOGO</t>
  </si>
  <si>
    <t>261º JOGO</t>
  </si>
  <si>
    <t>262º JOGO</t>
  </si>
  <si>
    <t>PENALTES 0x3</t>
  </si>
  <si>
    <t>263º JOGO</t>
  </si>
  <si>
    <t>264º JOGO</t>
  </si>
  <si>
    <t>265º JOGO</t>
  </si>
  <si>
    <t>266º JOGO</t>
  </si>
  <si>
    <t>267º JOGO</t>
  </si>
  <si>
    <t>268º JOGO</t>
  </si>
  <si>
    <t>PENALTES 5X3</t>
  </si>
  <si>
    <t>269º JOGO</t>
  </si>
  <si>
    <t>Toloi</t>
  </si>
  <si>
    <t>270º JOGO</t>
  </si>
  <si>
    <t>271º JOGO</t>
  </si>
  <si>
    <t>Bruno Univi</t>
  </si>
  <si>
    <t>272º JOGO</t>
  </si>
  <si>
    <t>273º JOGO</t>
  </si>
  <si>
    <t>274º JOGO</t>
  </si>
  <si>
    <t>275º JOGO</t>
  </si>
  <si>
    <t>276º JOGO</t>
  </si>
  <si>
    <t>277º JOGO</t>
  </si>
  <si>
    <t>Fernadinho</t>
  </si>
  <si>
    <t>278º JOGO</t>
  </si>
  <si>
    <t>279º JOGO</t>
  </si>
  <si>
    <t>280º JOGO</t>
  </si>
  <si>
    <t>281º JOGO</t>
  </si>
  <si>
    <t>Denis</t>
  </si>
  <si>
    <t>Corrêa</t>
  </si>
  <si>
    <t>Obina</t>
  </si>
  <si>
    <t>Ganso</t>
  </si>
  <si>
    <t>282º JOGO</t>
  </si>
  <si>
    <t>283º JOGO</t>
  </si>
  <si>
    <t>284º JOGO</t>
  </si>
  <si>
    <t>285º JOGO</t>
  </si>
  <si>
    <t>286º JOGO</t>
  </si>
  <si>
    <t>287º JOGO</t>
  </si>
  <si>
    <t>288º JOGO</t>
  </si>
  <si>
    <t>289º JOGO</t>
  </si>
  <si>
    <t>290º JOGO</t>
  </si>
  <si>
    <t>291º JOGO</t>
  </si>
  <si>
    <t>292º JOGO</t>
  </si>
  <si>
    <t>293º JOGO</t>
  </si>
  <si>
    <t>294º JOGO</t>
  </si>
  <si>
    <t>W. Jose</t>
  </si>
  <si>
    <t>295º JOGO</t>
  </si>
  <si>
    <t>Correa</t>
  </si>
  <si>
    <t>296º JOGO</t>
  </si>
  <si>
    <t>297º JOGO</t>
  </si>
  <si>
    <t>298º JOGO</t>
  </si>
  <si>
    <t>299º JOGO</t>
  </si>
  <si>
    <t>300º JOGO</t>
  </si>
  <si>
    <t>D. Caravlho</t>
  </si>
  <si>
    <t>301º JOGO</t>
  </si>
  <si>
    <t>Tiago Real</t>
  </si>
  <si>
    <t>341º Jogo</t>
  </si>
  <si>
    <t>8X1</t>
  </si>
  <si>
    <t>9 Gols</t>
  </si>
  <si>
    <t>335º Jogo</t>
  </si>
  <si>
    <t>315º Jogo</t>
  </si>
  <si>
    <t>9x0</t>
  </si>
  <si>
    <t>302º JOGO</t>
  </si>
  <si>
    <t>L. Eduardo</t>
  </si>
  <si>
    <t>303º JOGO</t>
  </si>
  <si>
    <t>304º JOGO</t>
  </si>
  <si>
    <t>PENALTES 3X0</t>
  </si>
  <si>
    <t>305º JOGO</t>
  </si>
  <si>
    <t>306º JOGO</t>
  </si>
  <si>
    <t>307º JOGO</t>
  </si>
  <si>
    <t>308º JOGO</t>
  </si>
  <si>
    <t>309º JOGO</t>
  </si>
  <si>
    <t>310º JOGO</t>
  </si>
  <si>
    <t>311º JOGO</t>
  </si>
  <si>
    <t>J. Filipe</t>
  </si>
  <si>
    <t>312º JOGO</t>
  </si>
  <si>
    <t>313º JOGO</t>
  </si>
  <si>
    <t>314º JOGO</t>
  </si>
  <si>
    <t>315º JOGO</t>
  </si>
  <si>
    <t>Oscaldo</t>
  </si>
  <si>
    <t>316º JOGO</t>
  </si>
  <si>
    <t>317º JOGO</t>
  </si>
  <si>
    <t>318º JOGO</t>
  </si>
  <si>
    <t>319º JOGO</t>
  </si>
  <si>
    <t>320º JOGO</t>
  </si>
  <si>
    <t>Leandro</t>
  </si>
  <si>
    <t>Ayrton</t>
  </si>
  <si>
    <t>Negueba</t>
  </si>
  <si>
    <t>321º JOGO</t>
  </si>
  <si>
    <t>322º JOGO</t>
  </si>
  <si>
    <t>323º JOGO</t>
  </si>
  <si>
    <t>324º JOGO</t>
  </si>
  <si>
    <t>325º JOGO</t>
  </si>
  <si>
    <t>326º JOGO</t>
  </si>
  <si>
    <t>327º JOGO</t>
  </si>
  <si>
    <t>328º JOGO</t>
  </si>
  <si>
    <t>329º JOGO</t>
  </si>
  <si>
    <t>330º JOGO</t>
  </si>
  <si>
    <t>331º JOGO</t>
  </si>
  <si>
    <t>332º JOGO</t>
  </si>
  <si>
    <t>D. Lovinho</t>
  </si>
  <si>
    <t>333º JOGO</t>
  </si>
  <si>
    <t>334º JOGO</t>
  </si>
  <si>
    <t>335º JOGO</t>
  </si>
  <si>
    <t>T. Real</t>
  </si>
  <si>
    <t>336º JOGO</t>
  </si>
  <si>
    <t>337º JOGO</t>
  </si>
  <si>
    <t>338º JOGO</t>
  </si>
  <si>
    <t>339º JOGO</t>
  </si>
  <si>
    <t>PENALTES 5x4</t>
  </si>
  <si>
    <t>340º JOGO</t>
  </si>
  <si>
    <t>341º JOGO</t>
  </si>
  <si>
    <t>342º JOGO</t>
  </si>
  <si>
    <t>343º JOGO</t>
  </si>
  <si>
    <t>344º JOGO</t>
  </si>
  <si>
    <t>345º JOGO</t>
  </si>
  <si>
    <t>346º JOGO</t>
  </si>
  <si>
    <t>347º JOGO</t>
  </si>
  <si>
    <t>348º JOGO</t>
  </si>
  <si>
    <t>349º JOGO</t>
  </si>
  <si>
    <t>350º JOGO</t>
  </si>
  <si>
    <t>351º JOGO</t>
  </si>
  <si>
    <t>352º JOGO</t>
  </si>
  <si>
    <t>353º JOGO</t>
  </si>
  <si>
    <t>354º JOGO</t>
  </si>
  <si>
    <t>355º JOGO</t>
  </si>
  <si>
    <t>356º JOGO</t>
  </si>
  <si>
    <t>357º JOGO</t>
  </si>
  <si>
    <t>358º JOGO</t>
  </si>
  <si>
    <t>359º JOGO</t>
  </si>
  <si>
    <t>360º JOGO</t>
  </si>
  <si>
    <t>361º JOGO</t>
  </si>
  <si>
    <t>362º JOGO</t>
  </si>
  <si>
    <t>363º JOGO</t>
  </si>
  <si>
    <t>Paulinho</t>
  </si>
  <si>
    <t>Arias</t>
  </si>
  <si>
    <t>Flaco</t>
  </si>
  <si>
    <t>Piquerez</t>
  </si>
  <si>
    <t>Felipe Anderson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</si>
</sst>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_-* #,##0.0_-;\-* #,##0.0_-;_-* &quot;-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0" fillId="2" borderId="1" xfId="0" applyFill="1" applyBorder="1"/>
    <xf numFmtId="0" fontId="1" fillId="3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5" borderId="1" xfId="0" applyFill="1" applyBorder="1"/>
    <xf numFmtId="0" fontId="2" fillId="4" borderId="1" xfId="0" applyFont="1" applyFill="1" applyBorder="1"/>
    <xf numFmtId="0" fontId="3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3" xfId="0" applyBorder="1"/>
    <xf numFmtId="0" fontId="0" fillId="2" borderId="6" xfId="0" applyFill="1" applyBorder="1"/>
    <xf numFmtId="0" fontId="0" fillId="0" borderId="1" xfId="0" applyBorder="1" applyAlignment="1">
      <alignment horizontal="center"/>
    </xf>
    <xf numFmtId="0" fontId="2" fillId="7" borderId="1" xfId="0" applyFont="1" applyFill="1" applyBorder="1"/>
    <xf numFmtId="0" fontId="0" fillId="0" borderId="4" xfId="0" applyBorder="1"/>
    <xf numFmtId="0" fontId="5" fillId="3" borderId="1" xfId="0" applyFont="1" applyFill="1" applyBorder="1"/>
    <xf numFmtId="0" fontId="5" fillId="0" borderId="1" xfId="0" applyFont="1" applyBorder="1"/>
    <xf numFmtId="0" fontId="5" fillId="0" borderId="4" xfId="0" applyFont="1" applyBorder="1"/>
    <xf numFmtId="0" fontId="2" fillId="4" borderId="4" xfId="0" applyFont="1" applyFill="1" applyBorder="1"/>
    <xf numFmtId="0" fontId="1" fillId="0" borderId="1" xfId="0" applyFont="1" applyBorder="1" applyAlignment="1">
      <alignment horizontal="center"/>
    </xf>
    <xf numFmtId="0" fontId="0" fillId="2" borderId="7" xfId="0" applyFill="1" applyBorder="1"/>
    <xf numFmtId="0" fontId="0" fillId="2" borderId="2" xfId="0" applyFill="1" applyBorder="1"/>
    <xf numFmtId="0" fontId="5" fillId="2" borderId="1" xfId="0" applyFont="1" applyFill="1" applyBorder="1"/>
    <xf numFmtId="0" fontId="5" fillId="0" borderId="0" xfId="0" applyFont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2" fillId="0" borderId="0" xfId="0" applyFont="1"/>
    <xf numFmtId="0" fontId="0" fillId="3" borderId="5" xfId="0" applyFill="1" applyBorder="1"/>
    <xf numFmtId="0" fontId="5" fillId="0" borderId="5" xfId="0" applyFont="1" applyBorder="1"/>
    <xf numFmtId="0" fontId="5" fillId="2" borderId="5" xfId="0" applyFont="1" applyFill="1" applyBorder="1"/>
    <xf numFmtId="0" fontId="2" fillId="4" borderId="5" xfId="0" applyFont="1" applyFill="1" applyBorder="1"/>
    <xf numFmtId="0" fontId="4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2" borderId="4" xfId="0" applyFont="1" applyFill="1" applyBorder="1"/>
    <xf numFmtId="0" fontId="2" fillId="4" borderId="6" xfId="0" applyFont="1" applyFill="1" applyBorder="1"/>
    <xf numFmtId="2" fontId="1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5" fillId="3" borderId="4" xfId="0" applyFont="1" applyFill="1" applyBorder="1"/>
    <xf numFmtId="0" fontId="5" fillId="3" borderId="5" xfId="0" applyFont="1" applyFill="1" applyBorder="1"/>
    <xf numFmtId="0" fontId="1" fillId="5" borderId="1" xfId="0" applyFont="1" applyFill="1" applyBorder="1" applyAlignment="1">
      <alignment horizontal="center"/>
    </xf>
    <xf numFmtId="0" fontId="2" fillId="7" borderId="4" xfId="0" applyFont="1" applyFill="1" applyBorder="1"/>
    <xf numFmtId="0" fontId="5" fillId="8" borderId="4" xfId="0" applyFont="1" applyFill="1" applyBorder="1"/>
    <xf numFmtId="0" fontId="0" fillId="2" borderId="5" xfId="0" applyFill="1" applyBorder="1"/>
    <xf numFmtId="2" fontId="1" fillId="0" borderId="5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5" fillId="8" borderId="1" xfId="0" applyFont="1" applyFill="1" applyBorder="1"/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1" fontId="1" fillId="10" borderId="0" xfId="0" applyNumberFormat="1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8" borderId="5" xfId="0" applyFill="1" applyBorder="1"/>
    <xf numFmtId="0" fontId="0" fillId="0" borderId="2" xfId="0" applyBorder="1"/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41" fontId="0" fillId="0" borderId="1" xfId="0" applyNumberForma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8" fillId="3" borderId="1" xfId="0" applyNumberFormat="1" applyFont="1" applyFill="1" applyBorder="1" applyAlignment="1">
      <alignment horizontal="center"/>
    </xf>
    <xf numFmtId="2" fontId="8" fillId="5" borderId="1" xfId="0" applyNumberFormat="1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2" fillId="7" borderId="5" xfId="0" applyFont="1" applyFill="1" applyBorder="1"/>
    <xf numFmtId="0" fontId="5" fillId="7" borderId="1" xfId="0" applyFont="1" applyFill="1" applyBorder="1"/>
    <xf numFmtId="0" fontId="2" fillId="9" borderId="1" xfId="0" applyFont="1" applyFill="1" applyBorder="1"/>
    <xf numFmtId="2" fontId="8" fillId="0" borderId="0" xfId="0" applyNumberFormat="1" applyFont="1" applyAlignment="1">
      <alignment horizontal="center"/>
    </xf>
    <xf numFmtId="0" fontId="2" fillId="4" borderId="2" xfId="0" applyFont="1" applyFill="1" applyBorder="1"/>
    <xf numFmtId="0" fontId="0" fillId="8" borderId="1" xfId="0" applyFill="1" applyBorder="1"/>
    <xf numFmtId="41" fontId="0" fillId="0" borderId="8" xfId="0" applyNumberFormat="1" applyBorder="1" applyAlignment="1">
      <alignment horizontal="center" vertical="center"/>
    </xf>
    <xf numFmtId="0" fontId="0" fillId="3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444500</xdr:colOff>
          <xdr:row>4</xdr:row>
          <xdr:rowOff>12700</xdr:rowOff>
        </xdr:from>
        <xdr:to>
          <xdr:col>10</xdr:col>
          <xdr:colOff>482600</xdr:colOff>
          <xdr:row>6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COLOCAÇÃO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5</xdr:row>
          <xdr:rowOff>152400</xdr:rowOff>
        </xdr:from>
        <xdr:to>
          <xdr:col>9</xdr:col>
          <xdr:colOff>12700</xdr:colOff>
          <xdr:row>7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Classificação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5</xdr:row>
          <xdr:rowOff>12700</xdr:rowOff>
        </xdr:from>
        <xdr:to>
          <xdr:col>5</xdr:col>
          <xdr:colOff>635000</xdr:colOff>
          <xdr:row>6</xdr:row>
          <xdr:rowOff>165100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CLASSIFICAÇÃO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DI103"/>
  <sheetViews>
    <sheetView topLeftCell="DD10" zoomScale="106" zoomScaleNormal="106" zoomScalePageLayoutView="106" workbookViewId="0">
      <selection activeCell="DJ32" sqref="DJ32"/>
    </sheetView>
  </sheetViews>
  <sheetFormatPr defaultColWidth="8.81640625" defaultRowHeight="14.5" x14ac:dyDescent="0.35"/>
  <cols>
    <col min="1" max="1" width="18.453125" bestFit="1" customWidth="1"/>
    <col min="2" max="2" width="19.6328125" bestFit="1" customWidth="1"/>
    <col min="3" max="3" width="2.6328125" customWidth="1"/>
    <col min="4" max="4" width="13.453125" bestFit="1" customWidth="1"/>
    <col min="5" max="5" width="19.6328125" bestFit="1" customWidth="1"/>
    <col min="6" max="6" width="2.6328125" customWidth="1"/>
    <col min="7" max="7" width="18.453125" bestFit="1" customWidth="1"/>
    <col min="8" max="8" width="19.6328125" bestFit="1" customWidth="1"/>
    <col min="9" max="9" width="2.6328125" customWidth="1"/>
    <col min="10" max="10" width="17" customWidth="1"/>
    <col min="11" max="11" width="17.6328125" bestFit="1" customWidth="1"/>
    <col min="12" max="12" width="2.81640625" customWidth="1"/>
    <col min="13" max="13" width="18.453125" bestFit="1" customWidth="1"/>
    <col min="14" max="14" width="15.36328125" bestFit="1" customWidth="1"/>
    <col min="15" max="15" width="2.81640625" customWidth="1"/>
    <col min="16" max="16" width="18.453125" bestFit="1" customWidth="1"/>
    <col min="17" max="17" width="17.6328125" bestFit="1" customWidth="1"/>
    <col min="18" max="18" width="2.81640625" customWidth="1"/>
    <col min="19" max="19" width="18.453125" bestFit="1" customWidth="1"/>
    <col min="20" max="20" width="17.6328125" bestFit="1" customWidth="1"/>
    <col min="21" max="21" width="2.81640625" customWidth="1"/>
    <col min="22" max="22" width="18.453125" bestFit="1" customWidth="1"/>
    <col min="23" max="23" width="19.6328125" bestFit="1" customWidth="1"/>
    <col min="24" max="24" width="2.6328125" customWidth="1"/>
    <col min="25" max="25" width="18.453125" bestFit="1" customWidth="1"/>
    <col min="26" max="26" width="17.6328125" bestFit="1" customWidth="1"/>
    <col min="27" max="27" width="2.81640625" customWidth="1"/>
    <col min="28" max="28" width="14.453125" bestFit="1" customWidth="1"/>
    <col min="29" max="29" width="19.6328125" bestFit="1" customWidth="1"/>
    <col min="31" max="32" width="13.453125" bestFit="1" customWidth="1"/>
    <col min="34" max="34" width="13.453125" bestFit="1" customWidth="1"/>
    <col min="35" max="35" width="13" bestFit="1" customWidth="1"/>
    <col min="37" max="37" width="13.453125" bestFit="1" customWidth="1"/>
    <col min="38" max="38" width="13" bestFit="1" customWidth="1"/>
    <col min="40" max="40" width="11" bestFit="1" customWidth="1"/>
    <col min="41" max="41" width="13" bestFit="1" customWidth="1"/>
    <col min="43" max="43" width="11" bestFit="1" customWidth="1"/>
    <col min="44" max="44" width="13" bestFit="1" customWidth="1"/>
    <col min="46" max="46" width="13.453125" bestFit="1" customWidth="1"/>
    <col min="47" max="47" width="15.36328125" bestFit="1" customWidth="1"/>
    <col min="49" max="49" width="13.453125" bestFit="1" customWidth="1"/>
    <col min="50" max="50" width="13" bestFit="1" customWidth="1"/>
    <col min="52" max="52" width="13.453125" bestFit="1" customWidth="1"/>
    <col min="53" max="53" width="13" bestFit="1" customWidth="1"/>
    <col min="55" max="55" width="13.453125" bestFit="1" customWidth="1"/>
    <col min="56" max="56" width="13" bestFit="1" customWidth="1"/>
    <col min="58" max="58" width="13.453125" bestFit="1" customWidth="1"/>
    <col min="59" max="59" width="13" bestFit="1" customWidth="1"/>
    <col min="61" max="61" width="13.453125" bestFit="1" customWidth="1"/>
    <col min="62" max="62" width="13" bestFit="1" customWidth="1"/>
    <col min="64" max="64" width="13.453125" bestFit="1" customWidth="1"/>
    <col min="65" max="65" width="13" bestFit="1" customWidth="1"/>
    <col min="67" max="67" width="13.453125" bestFit="1" customWidth="1"/>
    <col min="68" max="68" width="13" bestFit="1" customWidth="1"/>
    <col min="70" max="70" width="11.36328125" bestFit="1" customWidth="1"/>
    <col min="71" max="71" width="13" bestFit="1" customWidth="1"/>
    <col min="73" max="73" width="13.453125" bestFit="1" customWidth="1"/>
    <col min="74" max="74" width="13" bestFit="1" customWidth="1"/>
    <col min="76" max="76" width="13.453125" bestFit="1" customWidth="1"/>
    <col min="77" max="77" width="10.1796875" bestFit="1" customWidth="1"/>
    <col min="79" max="79" width="13.453125" bestFit="1" customWidth="1"/>
    <col min="80" max="80" width="13" bestFit="1" customWidth="1"/>
    <col min="82" max="82" width="12.1796875" bestFit="1" customWidth="1"/>
    <col min="83" max="83" width="13.453125" bestFit="1" customWidth="1"/>
    <col min="85" max="85" width="13.453125" bestFit="1" customWidth="1"/>
    <col min="86" max="86" width="13" bestFit="1" customWidth="1"/>
    <col min="88" max="88" width="11" bestFit="1" customWidth="1"/>
    <col min="89" max="89" width="13" bestFit="1" customWidth="1"/>
    <col min="91" max="91" width="11.453125" customWidth="1"/>
    <col min="92" max="92" width="13" bestFit="1" customWidth="1"/>
    <col min="94" max="94" width="11.81640625" bestFit="1" customWidth="1"/>
    <col min="95" max="95" width="13.453125" bestFit="1" customWidth="1"/>
    <col min="97" max="97" width="11.36328125" bestFit="1" customWidth="1"/>
    <col min="98" max="98" width="13.453125" customWidth="1"/>
    <col min="100" max="100" width="11.453125" bestFit="1" customWidth="1"/>
    <col min="101" max="101" width="13" bestFit="1" customWidth="1"/>
    <col min="103" max="103" width="11" bestFit="1" customWidth="1"/>
    <col min="104" max="104" width="13" bestFit="1" customWidth="1"/>
    <col min="106" max="106" width="11" bestFit="1" customWidth="1"/>
    <col min="107" max="107" width="13" bestFit="1" customWidth="1"/>
    <col min="109" max="109" width="11" bestFit="1" customWidth="1"/>
    <col min="110" max="110" width="13" bestFit="1" customWidth="1"/>
  </cols>
  <sheetData>
    <row r="1" spans="1:113" x14ac:dyDescent="0.35">
      <c r="A1" s="111" t="s">
        <v>0</v>
      </c>
      <c r="B1" s="111"/>
      <c r="D1" s="106" t="s">
        <v>36</v>
      </c>
      <c r="E1" s="107"/>
      <c r="G1" s="106" t="s">
        <v>60</v>
      </c>
      <c r="H1" s="107"/>
      <c r="J1" s="106" t="s">
        <v>91</v>
      </c>
      <c r="K1" s="107"/>
      <c r="M1" s="106" t="s">
        <v>102</v>
      </c>
      <c r="N1" s="107"/>
      <c r="P1" s="106" t="s">
        <v>146</v>
      </c>
      <c r="Q1" s="107"/>
      <c r="S1" s="106" t="s">
        <v>157</v>
      </c>
      <c r="T1" s="107"/>
      <c r="V1" s="106" t="s">
        <v>176</v>
      </c>
      <c r="W1" s="107"/>
      <c r="Y1" s="106" t="s">
        <v>194</v>
      </c>
      <c r="Z1" s="107"/>
      <c r="AB1" s="106" t="s">
        <v>211</v>
      </c>
      <c r="AC1" s="107"/>
      <c r="AE1" s="106" t="s">
        <v>234</v>
      </c>
      <c r="AF1" s="107"/>
      <c r="AH1" s="106" t="s">
        <v>308</v>
      </c>
      <c r="AI1" s="107"/>
      <c r="AK1" s="106" t="s">
        <v>321</v>
      </c>
      <c r="AL1" s="107"/>
      <c r="AN1" s="106" t="s">
        <v>336</v>
      </c>
      <c r="AO1" s="107"/>
      <c r="AQ1" s="106" t="s">
        <v>381</v>
      </c>
      <c r="AR1" s="107"/>
      <c r="AT1" s="106" t="s">
        <v>394</v>
      </c>
      <c r="AU1" s="107"/>
      <c r="AW1" s="106" t="s">
        <v>468</v>
      </c>
      <c r="AX1" s="107"/>
      <c r="AZ1" s="106" t="s">
        <v>486</v>
      </c>
      <c r="BA1" s="107"/>
      <c r="BC1" s="106" t="s">
        <v>505</v>
      </c>
      <c r="BD1" s="107"/>
      <c r="BF1" s="106" t="s">
        <v>518</v>
      </c>
      <c r="BG1" s="107"/>
      <c r="BI1" s="106" t="s">
        <v>530</v>
      </c>
      <c r="BJ1" s="107"/>
      <c r="BL1" s="106" t="s">
        <v>540</v>
      </c>
      <c r="BM1" s="107"/>
      <c r="BO1" s="106" t="s">
        <v>550</v>
      </c>
      <c r="BP1" s="107"/>
      <c r="BR1" s="106" t="s">
        <v>562</v>
      </c>
      <c r="BS1" s="107"/>
      <c r="BU1" s="106" t="s">
        <v>563</v>
      </c>
      <c r="BV1" s="107"/>
      <c r="BX1" s="106" t="s">
        <v>585</v>
      </c>
      <c r="BY1" s="107"/>
      <c r="CA1" s="106" t="s">
        <v>600</v>
      </c>
      <c r="CB1" s="107"/>
      <c r="CD1" s="106" t="s">
        <v>613</v>
      </c>
      <c r="CE1" s="107"/>
      <c r="CG1" s="106" t="s">
        <v>625</v>
      </c>
      <c r="CH1" s="107"/>
      <c r="CJ1" s="106" t="s">
        <v>639</v>
      </c>
      <c r="CK1" s="107"/>
      <c r="CM1" s="106" t="s">
        <v>652</v>
      </c>
      <c r="CN1" s="107"/>
      <c r="CP1" s="106" t="s">
        <v>671</v>
      </c>
      <c r="CQ1" s="107"/>
      <c r="CS1" s="106" t="s">
        <v>686</v>
      </c>
      <c r="CT1" s="107"/>
      <c r="CV1" s="106" t="s">
        <v>696</v>
      </c>
      <c r="CW1" s="107"/>
      <c r="CY1" s="106" t="s">
        <v>709</v>
      </c>
      <c r="CZ1" s="107"/>
      <c r="DB1" s="106" t="s">
        <v>719</v>
      </c>
      <c r="DC1" s="107"/>
      <c r="DE1" s="106" t="s">
        <v>729</v>
      </c>
      <c r="DF1" s="107"/>
      <c r="DH1" s="106" t="s">
        <v>9</v>
      </c>
      <c r="DI1" s="107"/>
    </row>
    <row r="2" spans="1:113" x14ac:dyDescent="0.35">
      <c r="A2" s="2" t="s">
        <v>1</v>
      </c>
      <c r="B2" s="3" t="s">
        <v>2</v>
      </c>
      <c r="D2" s="2" t="s">
        <v>1</v>
      </c>
      <c r="E2" s="3" t="s">
        <v>2</v>
      </c>
      <c r="G2" s="2" t="s">
        <v>1</v>
      </c>
      <c r="H2" s="3" t="s">
        <v>2</v>
      </c>
      <c r="J2" s="3" t="s">
        <v>1</v>
      </c>
      <c r="K2" s="2" t="s">
        <v>2</v>
      </c>
      <c r="M2" s="11" t="s">
        <v>1</v>
      </c>
      <c r="N2" s="3" t="s">
        <v>2</v>
      </c>
      <c r="P2" s="11" t="s">
        <v>1</v>
      </c>
      <c r="Q2" s="3" t="s">
        <v>2</v>
      </c>
      <c r="S2" s="2" t="s">
        <v>1</v>
      </c>
      <c r="T2" s="3" t="s">
        <v>2</v>
      </c>
      <c r="V2" s="11" t="s">
        <v>1</v>
      </c>
      <c r="W2" s="3" t="s">
        <v>2</v>
      </c>
      <c r="Y2" s="12" t="s">
        <v>1</v>
      </c>
      <c r="Z2" s="2" t="s">
        <v>2</v>
      </c>
      <c r="AB2" s="12" t="s">
        <v>1</v>
      </c>
      <c r="AC2" s="2" t="s">
        <v>2</v>
      </c>
      <c r="AE2" s="11" t="s">
        <v>1</v>
      </c>
      <c r="AF2" s="3" t="s">
        <v>2</v>
      </c>
      <c r="AH2" s="11" t="s">
        <v>1</v>
      </c>
      <c r="AI2" s="3" t="s">
        <v>2</v>
      </c>
      <c r="AK2" s="2" t="s">
        <v>1</v>
      </c>
      <c r="AL2" s="3" t="s">
        <v>2</v>
      </c>
      <c r="AN2" s="2" t="s">
        <v>1</v>
      </c>
      <c r="AO2" s="3" t="s">
        <v>2</v>
      </c>
      <c r="AQ2" s="2" t="s">
        <v>1</v>
      </c>
      <c r="AR2" s="3" t="s">
        <v>2</v>
      </c>
      <c r="AT2" s="2" t="s">
        <v>1</v>
      </c>
      <c r="AU2" s="3" t="s">
        <v>2</v>
      </c>
      <c r="AW2" s="2" t="s">
        <v>1</v>
      </c>
      <c r="AX2" s="3" t="s">
        <v>2</v>
      </c>
      <c r="AZ2" s="2" t="s">
        <v>1</v>
      </c>
      <c r="BA2" s="3" t="s">
        <v>2</v>
      </c>
      <c r="BC2" s="2" t="s">
        <v>1</v>
      </c>
      <c r="BD2" s="3" t="s">
        <v>2</v>
      </c>
      <c r="BF2" s="2" t="s">
        <v>1</v>
      </c>
      <c r="BG2" s="3" t="s">
        <v>2</v>
      </c>
      <c r="BI2" s="3" t="s">
        <v>1</v>
      </c>
      <c r="BJ2" s="2" t="s">
        <v>2</v>
      </c>
      <c r="BL2" s="2" t="s">
        <v>1</v>
      </c>
      <c r="BM2" s="3" t="s">
        <v>2</v>
      </c>
      <c r="BO2" s="2" t="s">
        <v>1</v>
      </c>
      <c r="BP2" s="3" t="s">
        <v>2</v>
      </c>
      <c r="BR2" s="2" t="s">
        <v>1</v>
      </c>
      <c r="BS2" s="3" t="s">
        <v>2</v>
      </c>
      <c r="BU2" s="2" t="s">
        <v>1</v>
      </c>
      <c r="BV2" s="3" t="s">
        <v>2</v>
      </c>
      <c r="BX2" s="2" t="s">
        <v>1</v>
      </c>
      <c r="BY2" s="3" t="s">
        <v>2</v>
      </c>
      <c r="CA2" s="2" t="s">
        <v>1</v>
      </c>
      <c r="CB2" s="3" t="s">
        <v>2</v>
      </c>
      <c r="CD2" s="2" t="s">
        <v>1</v>
      </c>
      <c r="CE2" s="3" t="s">
        <v>2</v>
      </c>
      <c r="CG2" s="3" t="s">
        <v>1</v>
      </c>
      <c r="CH2" s="2" t="s">
        <v>2</v>
      </c>
      <c r="CJ2" s="2" t="s">
        <v>1</v>
      </c>
      <c r="CK2" s="3" t="s">
        <v>2</v>
      </c>
      <c r="CM2" s="2" t="s">
        <v>1</v>
      </c>
      <c r="CN2" s="3" t="s">
        <v>2</v>
      </c>
      <c r="CP2" s="2" t="s">
        <v>1</v>
      </c>
      <c r="CQ2" s="3" t="s">
        <v>2</v>
      </c>
      <c r="CS2" s="2" t="s">
        <v>1</v>
      </c>
      <c r="CT2" s="3" t="s">
        <v>2</v>
      </c>
      <c r="CV2" s="3" t="s">
        <v>1</v>
      </c>
      <c r="CW2" s="2" t="s">
        <v>2</v>
      </c>
      <c r="CY2" s="3" t="s">
        <v>1</v>
      </c>
      <c r="CZ2" s="2" t="s">
        <v>2</v>
      </c>
      <c r="DB2" s="2" t="s">
        <v>1</v>
      </c>
      <c r="DC2" s="3" t="s">
        <v>2</v>
      </c>
      <c r="DE2" s="2" t="s">
        <v>1</v>
      </c>
      <c r="DF2" s="3" t="s">
        <v>2</v>
      </c>
      <c r="DH2" s="7" t="s">
        <v>1</v>
      </c>
      <c r="DI2" s="45" t="s">
        <v>2</v>
      </c>
    </row>
    <row r="3" spans="1:113" x14ac:dyDescent="0.35">
      <c r="A3" s="4" t="s">
        <v>10</v>
      </c>
      <c r="B3" s="5" t="s">
        <v>21</v>
      </c>
      <c r="D3" s="10" t="s">
        <v>39</v>
      </c>
      <c r="E3" s="4" t="s">
        <v>38</v>
      </c>
      <c r="G3" s="20" t="s">
        <v>10</v>
      </c>
      <c r="H3" s="6" t="s">
        <v>57</v>
      </c>
      <c r="J3" s="26"/>
      <c r="K3" s="5" t="s">
        <v>51</v>
      </c>
      <c r="M3" s="16" t="s">
        <v>21</v>
      </c>
      <c r="P3" s="19" t="s">
        <v>13</v>
      </c>
      <c r="Q3" s="6" t="s">
        <v>21</v>
      </c>
      <c r="S3" s="19" t="s">
        <v>69</v>
      </c>
      <c r="T3" s="6" t="s">
        <v>21</v>
      </c>
      <c r="V3" s="20" t="s">
        <v>48</v>
      </c>
      <c r="W3" s="6" t="s">
        <v>57</v>
      </c>
      <c r="Y3" s="10" t="s">
        <v>13</v>
      </c>
      <c r="Z3" s="34" t="s">
        <v>15</v>
      </c>
      <c r="AB3" s="39" t="s">
        <v>201</v>
      </c>
      <c r="AC3" s="10" t="s">
        <v>200</v>
      </c>
      <c r="AE3" s="19" t="s">
        <v>231</v>
      </c>
      <c r="AF3" s="4" t="s">
        <v>72</v>
      </c>
      <c r="AH3" s="19" t="s">
        <v>349</v>
      </c>
      <c r="AI3" s="4" t="s">
        <v>22</v>
      </c>
      <c r="AK3" s="19" t="s">
        <v>231</v>
      </c>
      <c r="AL3" s="51" t="s">
        <v>72</v>
      </c>
      <c r="AN3" s="4" t="s">
        <v>12</v>
      </c>
      <c r="AO3" s="4" t="s">
        <v>353</v>
      </c>
      <c r="AQ3" s="4" t="s">
        <v>231</v>
      </c>
      <c r="AR3" s="51" t="s">
        <v>72</v>
      </c>
      <c r="AT3" s="4" t="s">
        <v>231</v>
      </c>
      <c r="AU3" s="6" t="s">
        <v>88</v>
      </c>
      <c r="AW3" s="4" t="s">
        <v>231</v>
      </c>
      <c r="AX3" s="6" t="s">
        <v>233</v>
      </c>
      <c r="AZ3" s="6" t="s">
        <v>69</v>
      </c>
      <c r="BA3" s="6" t="s">
        <v>12</v>
      </c>
      <c r="BC3" s="4" t="s">
        <v>231</v>
      </c>
      <c r="BD3" s="25" t="s">
        <v>46</v>
      </c>
      <c r="BF3" s="4" t="s">
        <v>228</v>
      </c>
      <c r="BG3" s="18" t="s">
        <v>233</v>
      </c>
      <c r="BI3" s="19" t="s">
        <v>231</v>
      </c>
      <c r="BJ3" s="19" t="s">
        <v>12</v>
      </c>
      <c r="BL3" s="19" t="s">
        <v>13</v>
      </c>
      <c r="BM3" s="34" t="s">
        <v>377</v>
      </c>
      <c r="BO3" s="19" t="s">
        <v>231</v>
      </c>
      <c r="BP3" s="25" t="s">
        <v>22</v>
      </c>
      <c r="BR3" s="19" t="s">
        <v>69</v>
      </c>
      <c r="BS3" s="53" t="s">
        <v>305</v>
      </c>
      <c r="BU3" s="19" t="s">
        <v>458</v>
      </c>
      <c r="BV3" s="19" t="s">
        <v>305</v>
      </c>
      <c r="BX3" s="6" t="s">
        <v>269</v>
      </c>
      <c r="CA3" s="4" t="s">
        <v>458</v>
      </c>
      <c r="CB3" s="4" t="s">
        <v>72</v>
      </c>
      <c r="CD3" s="16" t="s">
        <v>12</v>
      </c>
      <c r="CE3" s="6" t="s">
        <v>317</v>
      </c>
      <c r="CG3" s="4" t="s">
        <v>228</v>
      </c>
      <c r="CH3" s="4" t="s">
        <v>589</v>
      </c>
      <c r="CJ3" s="4" t="s">
        <v>229</v>
      </c>
      <c r="CK3" s="5" t="s">
        <v>233</v>
      </c>
      <c r="CM3" s="4" t="s">
        <v>231</v>
      </c>
      <c r="CN3" s="6" t="s">
        <v>589</v>
      </c>
      <c r="CP3" s="6" t="s">
        <v>672</v>
      </c>
      <c r="CQ3" s="4" t="s">
        <v>22</v>
      </c>
      <c r="CS3" s="4" t="s">
        <v>231</v>
      </c>
      <c r="CT3" s="4" t="s">
        <v>396</v>
      </c>
      <c r="CV3" s="10" t="s">
        <v>231</v>
      </c>
      <c r="CW3" s="6" t="s">
        <v>396</v>
      </c>
      <c r="CY3" s="4" t="s">
        <v>231</v>
      </c>
      <c r="CZ3" s="4" t="s">
        <v>396</v>
      </c>
      <c r="DB3" s="4" t="s">
        <v>629</v>
      </c>
      <c r="DC3" s="6" t="s">
        <v>487</v>
      </c>
      <c r="DE3" s="4" t="s">
        <v>611</v>
      </c>
      <c r="DF3" s="6" t="s">
        <v>233</v>
      </c>
      <c r="DH3" s="22">
        <v>271</v>
      </c>
      <c r="DI3" s="22">
        <v>91</v>
      </c>
    </row>
    <row r="4" spans="1:113" x14ac:dyDescent="0.35">
      <c r="A4" s="4" t="s">
        <v>11</v>
      </c>
      <c r="B4" s="6" t="s">
        <v>20</v>
      </c>
      <c r="D4" s="4" t="s">
        <v>34</v>
      </c>
      <c r="E4" s="6" t="s">
        <v>22</v>
      </c>
      <c r="G4" s="20" t="s">
        <v>11</v>
      </c>
      <c r="H4" s="25" t="s">
        <v>31</v>
      </c>
      <c r="J4" s="26"/>
      <c r="K4" s="19" t="s">
        <v>15</v>
      </c>
      <c r="P4" s="19" t="s">
        <v>11</v>
      </c>
      <c r="S4" s="19" t="s">
        <v>39</v>
      </c>
      <c r="T4" s="18" t="s">
        <v>61</v>
      </c>
      <c r="V4" s="20" t="s">
        <v>71</v>
      </c>
      <c r="W4" s="25" t="s">
        <v>21</v>
      </c>
      <c r="Z4" s="6" t="s">
        <v>43</v>
      </c>
      <c r="AB4" s="39" t="s">
        <v>201</v>
      </c>
      <c r="AC4" s="19" t="s">
        <v>20</v>
      </c>
      <c r="AE4" s="19" t="s">
        <v>13</v>
      </c>
      <c r="AF4" s="10" t="s">
        <v>20</v>
      </c>
      <c r="AH4" s="10" t="s">
        <v>10</v>
      </c>
      <c r="AI4" s="19" t="s">
        <v>22</v>
      </c>
      <c r="AK4" s="17" t="s">
        <v>13</v>
      </c>
      <c r="AL4" s="5" t="s">
        <v>301</v>
      </c>
      <c r="AO4" s="67" t="s">
        <v>233</v>
      </c>
      <c r="AQ4" s="4" t="s">
        <v>231</v>
      </c>
      <c r="AT4" s="4" t="s">
        <v>231</v>
      </c>
      <c r="AU4" s="4" t="s">
        <v>20</v>
      </c>
      <c r="AZ4" s="4" t="s">
        <v>458</v>
      </c>
      <c r="BA4" s="10" t="s">
        <v>478</v>
      </c>
      <c r="BC4" s="4" t="s">
        <v>10</v>
      </c>
      <c r="BD4" s="25" t="s">
        <v>377</v>
      </c>
      <c r="BF4" s="4" t="s">
        <v>228</v>
      </c>
      <c r="BG4" s="19" t="s">
        <v>377</v>
      </c>
      <c r="BI4" s="19" t="s">
        <v>13</v>
      </c>
      <c r="BJ4" s="19" t="s">
        <v>478</v>
      </c>
      <c r="BL4" s="10" t="s">
        <v>458</v>
      </c>
      <c r="BO4" s="19" t="s">
        <v>231</v>
      </c>
      <c r="BP4" s="19" t="s">
        <v>377</v>
      </c>
      <c r="BR4" s="19" t="s">
        <v>561</v>
      </c>
      <c r="BS4" s="25" t="s">
        <v>233</v>
      </c>
      <c r="BU4" s="19" t="s">
        <v>13</v>
      </c>
      <c r="BV4" s="19" t="s">
        <v>377</v>
      </c>
      <c r="BX4" s="4" t="s">
        <v>201</v>
      </c>
      <c r="CA4" s="10" t="s">
        <v>201</v>
      </c>
      <c r="CD4" s="16" t="s">
        <v>275</v>
      </c>
      <c r="CE4" s="4" t="s">
        <v>377</v>
      </c>
      <c r="CG4" s="4" t="s">
        <v>231</v>
      </c>
      <c r="CH4" s="4" t="s">
        <v>396</v>
      </c>
      <c r="CJ4" s="4" t="s">
        <v>458</v>
      </c>
      <c r="CK4" s="4" t="s">
        <v>377</v>
      </c>
      <c r="CM4" s="4" t="s">
        <v>13</v>
      </c>
      <c r="CN4" s="5" t="s">
        <v>315</v>
      </c>
      <c r="CP4" s="4" t="s">
        <v>13</v>
      </c>
      <c r="CQ4" s="5" t="s">
        <v>233</v>
      </c>
      <c r="CS4" s="4" t="s">
        <v>231</v>
      </c>
      <c r="CT4" s="6" t="s">
        <v>233</v>
      </c>
      <c r="CW4" s="4" t="s">
        <v>22</v>
      </c>
      <c r="CZ4" s="4" t="s">
        <v>305</v>
      </c>
      <c r="DB4" s="4" t="s">
        <v>398</v>
      </c>
      <c r="DC4" s="4" t="s">
        <v>305</v>
      </c>
      <c r="DE4" s="4" t="s">
        <v>629</v>
      </c>
      <c r="DF4" s="4" t="s">
        <v>377</v>
      </c>
      <c r="DH4" s="106">
        <f>SUM(DH3,DI3)</f>
        <v>362</v>
      </c>
      <c r="DI4" s="107"/>
    </row>
    <row r="5" spans="1:113" x14ac:dyDescent="0.35">
      <c r="B5" s="4" t="s">
        <v>15</v>
      </c>
      <c r="D5" s="4" t="s">
        <v>11</v>
      </c>
      <c r="E5" s="6" t="s">
        <v>31</v>
      </c>
      <c r="G5" s="10" t="s">
        <v>39</v>
      </c>
      <c r="H5" s="6" t="s">
        <v>21</v>
      </c>
      <c r="J5" s="32"/>
      <c r="K5" s="6" t="s">
        <v>57</v>
      </c>
      <c r="M5" s="111" t="s">
        <v>103</v>
      </c>
      <c r="N5" s="111"/>
      <c r="P5" s="4" t="s">
        <v>350</v>
      </c>
      <c r="S5" s="6" t="s">
        <v>30</v>
      </c>
      <c r="T5" s="6" t="s">
        <v>21</v>
      </c>
      <c r="V5" s="20" t="s">
        <v>71</v>
      </c>
      <c r="W5" s="5" t="s">
        <v>88</v>
      </c>
      <c r="AB5" s="43" t="s">
        <v>201</v>
      </c>
      <c r="AC5" s="10" t="s">
        <v>20</v>
      </c>
      <c r="AE5" s="4" t="s">
        <v>231</v>
      </c>
      <c r="AH5" s="4" t="s">
        <v>231</v>
      </c>
      <c r="AK5" s="17" t="s">
        <v>248</v>
      </c>
      <c r="AL5" s="6" t="s">
        <v>20</v>
      </c>
      <c r="AN5" s="108" t="s">
        <v>339</v>
      </c>
      <c r="AO5" s="108"/>
      <c r="AT5" s="4" t="s">
        <v>12</v>
      </c>
      <c r="AU5" s="6" t="s">
        <v>88</v>
      </c>
      <c r="AW5" s="106" t="s">
        <v>469</v>
      </c>
      <c r="AX5" s="107"/>
      <c r="AZ5" s="19" t="s">
        <v>13</v>
      </c>
      <c r="BA5" s="4" t="s">
        <v>72</v>
      </c>
      <c r="BC5" s="19" t="s">
        <v>10</v>
      </c>
      <c r="BD5" s="6" t="s">
        <v>20</v>
      </c>
      <c r="BF5" s="10" t="s">
        <v>13</v>
      </c>
      <c r="BG5" s="4" t="s">
        <v>377</v>
      </c>
      <c r="BI5" s="19" t="s">
        <v>231</v>
      </c>
      <c r="BJ5" s="19" t="s">
        <v>377</v>
      </c>
      <c r="BL5" s="4" t="s">
        <v>376</v>
      </c>
      <c r="BO5" s="16" t="s">
        <v>270</v>
      </c>
      <c r="BP5" s="4" t="s">
        <v>22</v>
      </c>
      <c r="BR5" s="4" t="s">
        <v>231</v>
      </c>
      <c r="BU5" s="4" t="s">
        <v>561</v>
      </c>
      <c r="BX5" s="4" t="s">
        <v>201</v>
      </c>
      <c r="CA5" s="4" t="s">
        <v>458</v>
      </c>
      <c r="CD5" s="4" t="s">
        <v>231</v>
      </c>
      <c r="CE5" s="6" t="s">
        <v>478</v>
      </c>
      <c r="CG5" s="108" t="s">
        <v>137</v>
      </c>
      <c r="CH5" s="108"/>
      <c r="CJ5" s="4" t="s">
        <v>229</v>
      </c>
      <c r="CK5" s="6" t="s">
        <v>317</v>
      </c>
      <c r="CM5" s="4" t="s">
        <v>458</v>
      </c>
      <c r="CN5" s="6" t="s">
        <v>645</v>
      </c>
      <c r="CP5" s="4" t="s">
        <v>398</v>
      </c>
      <c r="CS5" s="4" t="s">
        <v>231</v>
      </c>
      <c r="CT5" s="5" t="s">
        <v>20</v>
      </c>
      <c r="CZ5" s="4" t="s">
        <v>305</v>
      </c>
      <c r="DB5" s="4" t="s">
        <v>228</v>
      </c>
      <c r="DC5" s="4" t="s">
        <v>628</v>
      </c>
      <c r="DE5" s="4" t="s">
        <v>389</v>
      </c>
      <c r="DF5" s="5" t="s">
        <v>275</v>
      </c>
    </row>
    <row r="6" spans="1:113" x14ac:dyDescent="0.35">
      <c r="D6" s="10" t="s">
        <v>40</v>
      </c>
      <c r="H6" s="6" t="s">
        <v>43</v>
      </c>
      <c r="M6" s="2" t="s">
        <v>1</v>
      </c>
      <c r="N6" s="3" t="s">
        <v>2</v>
      </c>
      <c r="S6" s="10" t="s">
        <v>11</v>
      </c>
      <c r="T6" s="5" t="s">
        <v>21</v>
      </c>
      <c r="V6" s="20" t="s">
        <v>63</v>
      </c>
      <c r="W6" s="6" t="s">
        <v>144</v>
      </c>
      <c r="Y6" s="106" t="s">
        <v>195</v>
      </c>
      <c r="Z6" s="107"/>
      <c r="AE6" s="4" t="s">
        <v>11</v>
      </c>
      <c r="AH6" s="4" t="s">
        <v>69</v>
      </c>
      <c r="AQ6" s="106" t="s">
        <v>382</v>
      </c>
      <c r="AR6" s="107"/>
      <c r="AT6" s="4" t="s">
        <v>358</v>
      </c>
      <c r="AU6" s="5" t="s">
        <v>88</v>
      </c>
      <c r="AW6" s="2" t="s">
        <v>1</v>
      </c>
      <c r="AX6" s="3" t="s">
        <v>2</v>
      </c>
      <c r="BC6" s="4" t="s">
        <v>69</v>
      </c>
      <c r="BD6" s="6" t="s">
        <v>478</v>
      </c>
      <c r="BF6" s="4" t="s">
        <v>231</v>
      </c>
      <c r="BJ6" s="19" t="s">
        <v>377</v>
      </c>
      <c r="BL6" s="4" t="s">
        <v>231</v>
      </c>
      <c r="BO6" s="4" t="s">
        <v>231</v>
      </c>
      <c r="BU6" s="10" t="s">
        <v>13</v>
      </c>
      <c r="BX6" s="4" t="s">
        <v>201</v>
      </c>
      <c r="CD6" s="4" t="s">
        <v>231</v>
      </c>
      <c r="CE6" s="4" t="s">
        <v>396</v>
      </c>
      <c r="CJ6" s="10" t="s">
        <v>458</v>
      </c>
      <c r="CM6" s="6" t="s">
        <v>265</v>
      </c>
      <c r="CN6" s="4" t="s">
        <v>16</v>
      </c>
      <c r="CP6" s="4" t="s">
        <v>269</v>
      </c>
      <c r="CS6" s="4" t="s">
        <v>629</v>
      </c>
      <c r="CT6" s="6" t="s">
        <v>396</v>
      </c>
      <c r="CV6" s="106" t="s">
        <v>697</v>
      </c>
      <c r="CW6" s="107"/>
      <c r="CZ6" s="4" t="s">
        <v>628</v>
      </c>
      <c r="DB6" s="4" t="s">
        <v>629</v>
      </c>
      <c r="DC6" s="5" t="s">
        <v>683</v>
      </c>
      <c r="DE6" s="6" t="s">
        <v>494</v>
      </c>
      <c r="DF6" s="5" t="s">
        <v>12</v>
      </c>
    </row>
    <row r="7" spans="1:113" x14ac:dyDescent="0.35">
      <c r="A7" s="111" t="s">
        <v>3</v>
      </c>
      <c r="B7" s="111"/>
      <c r="H7" s="6" t="s">
        <v>43</v>
      </c>
      <c r="J7" s="106" t="s">
        <v>92</v>
      </c>
      <c r="K7" s="107"/>
      <c r="M7" s="6" t="s">
        <v>11</v>
      </c>
      <c r="N7" s="6" t="s">
        <v>15</v>
      </c>
      <c r="P7" s="106" t="s">
        <v>147</v>
      </c>
      <c r="Q7" s="107"/>
      <c r="S7" s="10" t="s">
        <v>350</v>
      </c>
      <c r="T7" s="6" t="s">
        <v>143</v>
      </c>
      <c r="W7" s="6" t="s">
        <v>22</v>
      </c>
      <c r="Y7" s="11" t="s">
        <v>1</v>
      </c>
      <c r="Z7" s="3" t="s">
        <v>2</v>
      </c>
      <c r="AB7" s="106" t="s">
        <v>212</v>
      </c>
      <c r="AC7" s="107"/>
      <c r="AE7" s="6" t="s">
        <v>229</v>
      </c>
      <c r="AK7" s="106" t="s">
        <v>322</v>
      </c>
      <c r="AL7" s="107"/>
      <c r="AN7" s="106" t="s">
        <v>340</v>
      </c>
      <c r="AO7" s="107"/>
      <c r="AQ7" s="2" t="s">
        <v>1</v>
      </c>
      <c r="AR7" s="3" t="s">
        <v>2</v>
      </c>
      <c r="AT7" s="4" t="s">
        <v>389</v>
      </c>
      <c r="AU7" s="6" t="s">
        <v>317</v>
      </c>
      <c r="AW7" s="4" t="s">
        <v>13</v>
      </c>
      <c r="AX7" s="4" t="s">
        <v>12</v>
      </c>
      <c r="AZ7" s="106" t="s">
        <v>488</v>
      </c>
      <c r="BA7" s="107"/>
      <c r="BD7" s="4" t="s">
        <v>20</v>
      </c>
      <c r="BF7" s="4" t="s">
        <v>389</v>
      </c>
      <c r="BR7" s="106" t="s">
        <v>564</v>
      </c>
      <c r="BS7" s="107"/>
      <c r="BX7" s="6" t="s">
        <v>228</v>
      </c>
      <c r="CA7" s="106" t="s">
        <v>601</v>
      </c>
      <c r="CB7" s="107"/>
      <c r="CE7" s="5" t="s">
        <v>275</v>
      </c>
      <c r="CG7" s="106" t="s">
        <v>630</v>
      </c>
      <c r="CH7" s="107"/>
      <c r="CM7" s="6" t="s">
        <v>265</v>
      </c>
      <c r="CN7" s="6" t="s">
        <v>466</v>
      </c>
      <c r="CP7" s="4" t="s">
        <v>231</v>
      </c>
      <c r="CS7" s="10" t="s">
        <v>629</v>
      </c>
      <c r="CT7" s="6" t="s">
        <v>233</v>
      </c>
      <c r="CV7" s="2" t="s">
        <v>1</v>
      </c>
      <c r="CW7" s="3" t="s">
        <v>2</v>
      </c>
      <c r="CZ7" s="4" t="s">
        <v>396</v>
      </c>
      <c r="DB7" s="6" t="s">
        <v>228</v>
      </c>
      <c r="DC7" s="4" t="s">
        <v>628</v>
      </c>
      <c r="DE7" s="100" t="s">
        <v>377</v>
      </c>
      <c r="DF7" s="5" t="s">
        <v>478</v>
      </c>
    </row>
    <row r="8" spans="1:113" x14ac:dyDescent="0.35">
      <c r="A8" s="2" t="s">
        <v>1</v>
      </c>
      <c r="B8" s="3" t="s">
        <v>2</v>
      </c>
      <c r="D8" s="106" t="s">
        <v>37</v>
      </c>
      <c r="E8" s="107"/>
      <c r="H8" s="5" t="s">
        <v>43</v>
      </c>
      <c r="J8" s="2" t="s">
        <v>1</v>
      </c>
      <c r="K8" s="3" t="s">
        <v>2</v>
      </c>
      <c r="M8" s="4" t="s">
        <v>48</v>
      </c>
      <c r="N8" s="5" t="s">
        <v>51</v>
      </c>
      <c r="P8" s="12" t="s">
        <v>1</v>
      </c>
      <c r="Q8" s="2" t="s">
        <v>2</v>
      </c>
      <c r="S8" s="4" t="s">
        <v>71</v>
      </c>
      <c r="T8" s="6" t="s">
        <v>31</v>
      </c>
      <c r="W8" s="5" t="s">
        <v>31</v>
      </c>
      <c r="Y8" s="39" t="s">
        <v>87</v>
      </c>
      <c r="Z8" s="6" t="s">
        <v>61</v>
      </c>
      <c r="AB8" s="11" t="s">
        <v>1</v>
      </c>
      <c r="AC8" s="3" t="s">
        <v>2</v>
      </c>
      <c r="AH8" s="106" t="s">
        <v>309</v>
      </c>
      <c r="AI8" s="107"/>
      <c r="AK8" s="2" t="s">
        <v>1</v>
      </c>
      <c r="AL8" s="3" t="s">
        <v>2</v>
      </c>
      <c r="AN8" s="2" t="s">
        <v>1</v>
      </c>
      <c r="AO8" s="3" t="s">
        <v>2</v>
      </c>
      <c r="AQ8" s="4" t="s">
        <v>231</v>
      </c>
      <c r="AR8" s="51" t="s">
        <v>377</v>
      </c>
      <c r="AT8" s="4" t="s">
        <v>231</v>
      </c>
      <c r="AU8" s="5" t="s">
        <v>315</v>
      </c>
      <c r="AW8" s="4" t="s">
        <v>389</v>
      </c>
      <c r="AX8" s="6" t="s">
        <v>12</v>
      </c>
      <c r="AZ8" s="2" t="s">
        <v>1</v>
      </c>
      <c r="BA8" s="3" t="s">
        <v>2</v>
      </c>
      <c r="BD8" s="6" t="s">
        <v>478</v>
      </c>
      <c r="BI8" s="106" t="s">
        <v>531</v>
      </c>
      <c r="BJ8" s="107"/>
      <c r="BL8" s="106" t="s">
        <v>541</v>
      </c>
      <c r="BM8" s="107"/>
      <c r="BO8" s="106" t="s">
        <v>551</v>
      </c>
      <c r="BP8" s="107"/>
      <c r="BR8" s="2" t="s">
        <v>1</v>
      </c>
      <c r="BS8" s="3" t="s">
        <v>2</v>
      </c>
      <c r="BU8" s="106" t="s">
        <v>574</v>
      </c>
      <c r="BV8" s="107"/>
      <c r="BX8" s="4" t="s">
        <v>389</v>
      </c>
      <c r="CA8" s="2" t="s">
        <v>1</v>
      </c>
      <c r="CB8" s="3" t="s">
        <v>2</v>
      </c>
      <c r="CE8" s="5" t="s">
        <v>10</v>
      </c>
      <c r="CG8" s="2" t="s">
        <v>1</v>
      </c>
      <c r="CH8" s="3" t="s">
        <v>2</v>
      </c>
      <c r="CJ8" s="106" t="s">
        <v>640</v>
      </c>
      <c r="CK8" s="107"/>
      <c r="CM8" s="5" t="s">
        <v>265</v>
      </c>
      <c r="CS8" s="4" t="s">
        <v>13</v>
      </c>
      <c r="CT8" s="5" t="s">
        <v>233</v>
      </c>
      <c r="CV8" s="6" t="s">
        <v>13</v>
      </c>
      <c r="CW8" s="5" t="s">
        <v>645</v>
      </c>
      <c r="CZ8" s="4" t="s">
        <v>305</v>
      </c>
      <c r="DF8" s="6" t="s">
        <v>20</v>
      </c>
    </row>
    <row r="9" spans="1:113" x14ac:dyDescent="0.35">
      <c r="A9" s="108" t="s">
        <v>4</v>
      </c>
      <c r="B9" s="108"/>
      <c r="D9" s="2" t="s">
        <v>1</v>
      </c>
      <c r="E9" s="3" t="s">
        <v>2</v>
      </c>
      <c r="H9" s="6" t="s">
        <v>61</v>
      </c>
      <c r="J9" s="19" t="s">
        <v>48</v>
      </c>
      <c r="K9" s="4" t="s">
        <v>85</v>
      </c>
      <c r="N9" s="5" t="s">
        <v>31</v>
      </c>
      <c r="P9" s="39" t="s">
        <v>63</v>
      </c>
      <c r="Q9" s="4" t="s">
        <v>20</v>
      </c>
      <c r="S9" s="4" t="s">
        <v>13</v>
      </c>
      <c r="T9" s="6" t="s">
        <v>43</v>
      </c>
      <c r="W9" s="6" t="s">
        <v>64</v>
      </c>
      <c r="Y9" s="20" t="s">
        <v>50</v>
      </c>
      <c r="Z9" s="25" t="s">
        <v>15</v>
      </c>
      <c r="AB9" s="19" t="s">
        <v>11</v>
      </c>
      <c r="AE9" s="106" t="s">
        <v>235</v>
      </c>
      <c r="AF9" s="107"/>
      <c r="AH9" s="3" t="s">
        <v>1</v>
      </c>
      <c r="AI9" s="2" t="s">
        <v>2</v>
      </c>
      <c r="AK9" s="53" t="s">
        <v>349</v>
      </c>
      <c r="AL9" s="66" t="s">
        <v>72</v>
      </c>
      <c r="AN9" s="4" t="s">
        <v>69</v>
      </c>
      <c r="AO9" s="6" t="s">
        <v>275</v>
      </c>
      <c r="AQ9" s="4" t="s">
        <v>231</v>
      </c>
      <c r="AR9" s="4" t="s">
        <v>72</v>
      </c>
      <c r="AT9" s="4" t="s">
        <v>231</v>
      </c>
      <c r="AU9" s="6" t="s">
        <v>317</v>
      </c>
      <c r="AW9" s="10" t="s">
        <v>231</v>
      </c>
      <c r="AX9" s="4" t="s">
        <v>22</v>
      </c>
      <c r="AZ9" s="4" t="s">
        <v>479</v>
      </c>
      <c r="BA9" s="100" t="s">
        <v>268</v>
      </c>
      <c r="BD9" s="5" t="s">
        <v>478</v>
      </c>
      <c r="BF9" s="106" t="s">
        <v>519</v>
      </c>
      <c r="BG9" s="107"/>
      <c r="BI9" s="2" t="s">
        <v>1</v>
      </c>
      <c r="BJ9" s="3" t="s">
        <v>2</v>
      </c>
      <c r="BL9" s="2" t="s">
        <v>1</v>
      </c>
      <c r="BM9" s="3" t="s">
        <v>2</v>
      </c>
      <c r="BO9" s="3" t="s">
        <v>1</v>
      </c>
      <c r="BP9" s="2" t="s">
        <v>2</v>
      </c>
      <c r="BR9" s="19" t="s">
        <v>561</v>
      </c>
      <c r="BS9" s="53" t="s">
        <v>20</v>
      </c>
      <c r="BU9" s="2" t="s">
        <v>1</v>
      </c>
      <c r="BV9" s="3" t="s">
        <v>2</v>
      </c>
      <c r="CA9" s="10" t="s">
        <v>201</v>
      </c>
      <c r="CG9" s="4" t="s">
        <v>13</v>
      </c>
      <c r="CH9" s="4" t="s">
        <v>377</v>
      </c>
      <c r="CJ9" s="2" t="s">
        <v>1</v>
      </c>
      <c r="CK9" s="3" t="s">
        <v>2</v>
      </c>
      <c r="CP9" s="106" t="s">
        <v>673</v>
      </c>
      <c r="CQ9" s="107"/>
      <c r="CS9" s="6" t="s">
        <v>69</v>
      </c>
      <c r="CT9" s="6" t="s">
        <v>473</v>
      </c>
      <c r="CV9" s="6" t="s">
        <v>269</v>
      </c>
      <c r="CW9" s="6" t="s">
        <v>478</v>
      </c>
      <c r="CZ9" s="4" t="s">
        <v>645</v>
      </c>
      <c r="DB9" s="106" t="s">
        <v>720</v>
      </c>
      <c r="DC9" s="107"/>
      <c r="DF9" s="6" t="s">
        <v>684</v>
      </c>
    </row>
    <row r="10" spans="1:113" x14ac:dyDescent="0.35">
      <c r="A10" s="1"/>
      <c r="B10" s="1"/>
      <c r="D10" s="13" t="s">
        <v>11</v>
      </c>
      <c r="H10" s="6" t="s">
        <v>62</v>
      </c>
      <c r="J10" s="19" t="s">
        <v>11</v>
      </c>
      <c r="K10" s="25" t="s">
        <v>21</v>
      </c>
      <c r="Q10" s="16" t="s">
        <v>350</v>
      </c>
      <c r="T10" s="5" t="s">
        <v>64</v>
      </c>
      <c r="W10" s="6" t="s">
        <v>351</v>
      </c>
      <c r="Y10" s="21" t="s">
        <v>34</v>
      </c>
      <c r="Z10" s="6" t="s">
        <v>43</v>
      </c>
      <c r="AE10" s="12" t="s">
        <v>1</v>
      </c>
      <c r="AF10" s="2" t="s">
        <v>2</v>
      </c>
      <c r="AH10" s="32"/>
      <c r="AI10" s="4" t="s">
        <v>52</v>
      </c>
      <c r="AK10" s="6" t="s">
        <v>352</v>
      </c>
      <c r="AN10" s="4" t="s">
        <v>231</v>
      </c>
      <c r="AO10" s="4" t="s">
        <v>22</v>
      </c>
      <c r="AQ10" s="6" t="s">
        <v>228</v>
      </c>
      <c r="AR10" s="4" t="s">
        <v>72</v>
      </c>
      <c r="AT10" s="4" t="s">
        <v>358</v>
      </c>
      <c r="AU10" s="5" t="s">
        <v>317</v>
      </c>
      <c r="AW10" s="4" t="s">
        <v>10</v>
      </c>
      <c r="AX10" s="10" t="s">
        <v>72</v>
      </c>
      <c r="AZ10" s="4" t="s">
        <v>458</v>
      </c>
      <c r="BA10" s="25" t="s">
        <v>487</v>
      </c>
      <c r="BD10" s="4" t="s">
        <v>305</v>
      </c>
      <c r="BF10" s="2" t="s">
        <v>1</v>
      </c>
      <c r="BG10" s="3" t="s">
        <v>2</v>
      </c>
      <c r="BI10" s="19" t="s">
        <v>231</v>
      </c>
      <c r="BJ10" s="19" t="s">
        <v>377</v>
      </c>
      <c r="BL10" s="19" t="s">
        <v>231</v>
      </c>
      <c r="BM10" s="25" t="s">
        <v>315</v>
      </c>
      <c r="BO10" s="19" t="s">
        <v>10</v>
      </c>
      <c r="BP10" s="19" t="s">
        <v>315</v>
      </c>
      <c r="BR10" s="19" t="s">
        <v>458</v>
      </c>
      <c r="BS10" s="25" t="s">
        <v>315</v>
      </c>
      <c r="BU10" s="19" t="s">
        <v>231</v>
      </c>
      <c r="BV10" s="19" t="s">
        <v>377</v>
      </c>
      <c r="BX10" s="106" t="s">
        <v>590</v>
      </c>
      <c r="BY10" s="107"/>
      <c r="CA10" s="4" t="s">
        <v>458</v>
      </c>
      <c r="CD10" s="106" t="s">
        <v>615</v>
      </c>
      <c r="CE10" s="107"/>
      <c r="CG10" s="4" t="s">
        <v>458</v>
      </c>
      <c r="CH10" s="6" t="s">
        <v>473</v>
      </c>
      <c r="CJ10" s="4" t="s">
        <v>264</v>
      </c>
      <c r="CK10" s="6" t="s">
        <v>317</v>
      </c>
      <c r="CM10" s="106" t="s">
        <v>660</v>
      </c>
      <c r="CN10" s="107"/>
      <c r="CP10" s="2" t="s">
        <v>1</v>
      </c>
      <c r="CQ10" s="3" t="s">
        <v>2</v>
      </c>
      <c r="CS10" s="4" t="s">
        <v>458</v>
      </c>
      <c r="CT10" s="6" t="s">
        <v>10</v>
      </c>
      <c r="CV10" s="4" t="s">
        <v>482</v>
      </c>
      <c r="CZ10" s="4" t="s">
        <v>20</v>
      </c>
      <c r="DB10" s="3" t="s">
        <v>1</v>
      </c>
      <c r="DC10" s="2" t="s">
        <v>2</v>
      </c>
      <c r="DF10" s="4" t="s">
        <v>305</v>
      </c>
    </row>
    <row r="11" spans="1:113" x14ac:dyDescent="0.35">
      <c r="A11" s="111" t="s">
        <v>5</v>
      </c>
      <c r="B11" s="111"/>
      <c r="J11" s="19" t="s">
        <v>48</v>
      </c>
      <c r="K11" s="5" t="s">
        <v>88</v>
      </c>
      <c r="M11" s="106" t="s">
        <v>104</v>
      </c>
      <c r="N11" s="107"/>
      <c r="Q11" s="4" t="s">
        <v>20</v>
      </c>
      <c r="W11" s="6" t="s">
        <v>64</v>
      </c>
      <c r="AB11" s="106" t="s">
        <v>217</v>
      </c>
      <c r="AC11" s="107"/>
      <c r="AE11" s="21" t="s">
        <v>34</v>
      </c>
      <c r="AF11" s="4" t="s">
        <v>15</v>
      </c>
      <c r="AH11" s="32"/>
      <c r="AI11" s="19" t="s">
        <v>52</v>
      </c>
      <c r="AK11" s="4" t="s">
        <v>231</v>
      </c>
      <c r="AN11" s="4" t="s">
        <v>231</v>
      </c>
      <c r="AO11" s="6" t="s">
        <v>20</v>
      </c>
      <c r="AQ11" s="4" t="s">
        <v>231</v>
      </c>
      <c r="AU11" s="6" t="s">
        <v>12</v>
      </c>
      <c r="AW11" s="4" t="s">
        <v>13</v>
      </c>
      <c r="AZ11" s="19" t="s">
        <v>482</v>
      </c>
      <c r="BA11" s="4" t="s">
        <v>46</v>
      </c>
      <c r="BF11" s="6" t="s">
        <v>231</v>
      </c>
      <c r="BG11" s="19" t="s">
        <v>377</v>
      </c>
      <c r="BI11" s="19" t="s">
        <v>231</v>
      </c>
      <c r="BJ11" s="19" t="s">
        <v>377</v>
      </c>
      <c r="BL11" s="19" t="s">
        <v>231</v>
      </c>
      <c r="BM11" s="25" t="s">
        <v>46</v>
      </c>
      <c r="BP11" s="4" t="s">
        <v>305</v>
      </c>
      <c r="BR11" s="4" t="s">
        <v>69</v>
      </c>
      <c r="BU11" s="4" t="s">
        <v>231</v>
      </c>
      <c r="BX11" s="3" t="s">
        <v>1</v>
      </c>
      <c r="BY11" s="2" t="s">
        <v>2</v>
      </c>
      <c r="CD11" s="2" t="s">
        <v>1</v>
      </c>
      <c r="CE11" s="3" t="s">
        <v>2</v>
      </c>
      <c r="CJ11" s="4" t="s">
        <v>231</v>
      </c>
      <c r="CM11" s="2" t="s">
        <v>1</v>
      </c>
      <c r="CN11" s="3" t="s">
        <v>2</v>
      </c>
      <c r="CP11" s="4" t="s">
        <v>231</v>
      </c>
      <c r="CQ11" s="5" t="s">
        <v>10</v>
      </c>
      <c r="CS11" s="4" t="s">
        <v>389</v>
      </c>
      <c r="CT11" s="6" t="s">
        <v>10</v>
      </c>
      <c r="CV11" s="6" t="s">
        <v>228</v>
      </c>
      <c r="DB11" s="4" t="s">
        <v>231</v>
      </c>
      <c r="DC11" s="4" t="s">
        <v>628</v>
      </c>
      <c r="DF11" s="6" t="s">
        <v>233</v>
      </c>
    </row>
    <row r="12" spans="1:113" x14ac:dyDescent="0.35">
      <c r="A12" s="3" t="s">
        <v>1</v>
      </c>
      <c r="B12" s="2" t="s">
        <v>2</v>
      </c>
      <c r="D12" s="106" t="s">
        <v>41</v>
      </c>
      <c r="E12" s="107"/>
      <c r="G12" s="106" t="s">
        <v>65</v>
      </c>
      <c r="H12" s="107"/>
      <c r="J12" s="19" t="s">
        <v>48</v>
      </c>
      <c r="K12" s="6" t="s">
        <v>31</v>
      </c>
      <c r="M12" s="2" t="s">
        <v>1</v>
      </c>
      <c r="N12" s="3" t="s">
        <v>2</v>
      </c>
      <c r="S12" s="106" t="s">
        <v>158</v>
      </c>
      <c r="T12" s="107"/>
      <c r="W12" s="5" t="s">
        <v>64</v>
      </c>
      <c r="Y12" s="106" t="s">
        <v>196</v>
      </c>
      <c r="Z12" s="107"/>
      <c r="AB12" s="12" t="s">
        <v>1</v>
      </c>
      <c r="AC12" s="2" t="s">
        <v>2</v>
      </c>
      <c r="AE12" s="39" t="s">
        <v>13</v>
      </c>
      <c r="AF12" s="25" t="s">
        <v>233</v>
      </c>
      <c r="AK12" s="4" t="s">
        <v>13</v>
      </c>
      <c r="AN12" s="4" t="s">
        <v>231</v>
      </c>
      <c r="AO12" s="6" t="s">
        <v>305</v>
      </c>
      <c r="AQ12" s="4" t="s">
        <v>231</v>
      </c>
      <c r="AW12" s="6" t="s">
        <v>69</v>
      </c>
      <c r="AZ12" s="4" t="s">
        <v>479</v>
      </c>
      <c r="BA12" s="6" t="s">
        <v>233</v>
      </c>
      <c r="BC12" s="106" t="s">
        <v>506</v>
      </c>
      <c r="BD12" s="107"/>
      <c r="BF12" s="4" t="s">
        <v>231</v>
      </c>
      <c r="BG12" s="18" t="s">
        <v>315</v>
      </c>
      <c r="BI12" s="19" t="s">
        <v>69</v>
      </c>
      <c r="BJ12" s="18" t="s">
        <v>233</v>
      </c>
      <c r="BL12" s="4" t="s">
        <v>13</v>
      </c>
      <c r="BP12" s="4" t="s">
        <v>20</v>
      </c>
      <c r="BR12" s="4" t="s">
        <v>458</v>
      </c>
      <c r="BU12" s="4" t="s">
        <v>458</v>
      </c>
      <c r="BX12" s="19" t="s">
        <v>10</v>
      </c>
      <c r="BY12" s="19" t="s">
        <v>377</v>
      </c>
      <c r="CA12" s="106" t="s">
        <v>603</v>
      </c>
      <c r="CB12" s="107"/>
      <c r="CD12" s="4" t="s">
        <v>398</v>
      </c>
      <c r="CG12" s="106" t="s">
        <v>631</v>
      </c>
      <c r="CH12" s="107"/>
      <c r="CJ12" s="4" t="s">
        <v>231</v>
      </c>
      <c r="CM12" s="4" t="s">
        <v>398</v>
      </c>
      <c r="CN12" s="6" t="s">
        <v>478</v>
      </c>
      <c r="CP12" s="4" t="s">
        <v>458</v>
      </c>
      <c r="CQ12" s="5" t="s">
        <v>487</v>
      </c>
      <c r="CS12" s="6" t="s">
        <v>69</v>
      </c>
      <c r="CT12" s="5" t="s">
        <v>10</v>
      </c>
      <c r="CY12" s="106" t="s">
        <v>710</v>
      </c>
      <c r="CZ12" s="107"/>
      <c r="DB12" s="6" t="s">
        <v>13</v>
      </c>
      <c r="DC12" s="6" t="s">
        <v>315</v>
      </c>
      <c r="DF12" s="5" t="s">
        <v>233</v>
      </c>
    </row>
    <row r="13" spans="1:113" x14ac:dyDescent="0.35">
      <c r="A13" s="4" t="s">
        <v>11</v>
      </c>
      <c r="B13" s="6" t="s">
        <v>20</v>
      </c>
      <c r="D13" s="3" t="s">
        <v>1</v>
      </c>
      <c r="E13" s="2" t="s">
        <v>2</v>
      </c>
      <c r="G13" s="2" t="s">
        <v>1</v>
      </c>
      <c r="H13" s="3" t="s">
        <v>2</v>
      </c>
      <c r="J13" s="10" t="s">
        <v>48</v>
      </c>
      <c r="K13" s="6" t="s">
        <v>64</v>
      </c>
      <c r="M13" s="25" t="s">
        <v>87</v>
      </c>
      <c r="N13" s="25" t="s">
        <v>98</v>
      </c>
      <c r="P13" s="106" t="s">
        <v>148</v>
      </c>
      <c r="Q13" s="107"/>
      <c r="S13" s="2" t="s">
        <v>1</v>
      </c>
      <c r="T13" s="3" t="s">
        <v>2</v>
      </c>
      <c r="W13" s="5" t="s">
        <v>144</v>
      </c>
      <c r="Y13" s="11" t="s">
        <v>1</v>
      </c>
      <c r="Z13" s="3" t="s">
        <v>2</v>
      </c>
      <c r="AB13" s="20" t="s">
        <v>13</v>
      </c>
      <c r="AC13" s="4" t="s">
        <v>15</v>
      </c>
      <c r="AF13" s="4" t="s">
        <v>62</v>
      </c>
      <c r="AH13" s="106" t="s">
        <v>310</v>
      </c>
      <c r="AI13" s="107"/>
      <c r="AN13" s="4" t="s">
        <v>231</v>
      </c>
      <c r="AQ13" s="4" t="s">
        <v>231</v>
      </c>
      <c r="AT13" s="106" t="s">
        <v>395</v>
      </c>
      <c r="AU13" s="107"/>
      <c r="BC13" s="2" t="s">
        <v>1</v>
      </c>
      <c r="BD13" s="3" t="s">
        <v>2</v>
      </c>
      <c r="BF13" s="4" t="s">
        <v>231</v>
      </c>
      <c r="BI13" s="19" t="s">
        <v>10</v>
      </c>
      <c r="BL13" s="4" t="s">
        <v>231</v>
      </c>
      <c r="BU13" s="4" t="s">
        <v>561</v>
      </c>
      <c r="BY13" s="4" t="s">
        <v>200</v>
      </c>
      <c r="CA13" s="3" t="s">
        <v>1</v>
      </c>
      <c r="CB13" s="2" t="s">
        <v>2</v>
      </c>
      <c r="CD13" s="4" t="s">
        <v>231</v>
      </c>
      <c r="CG13" s="3" t="s">
        <v>1</v>
      </c>
      <c r="CH13" s="2" t="s">
        <v>2</v>
      </c>
      <c r="CJ13" s="4" t="s">
        <v>389</v>
      </c>
      <c r="CM13" s="4" t="s">
        <v>398</v>
      </c>
      <c r="CN13" s="6" t="s">
        <v>466</v>
      </c>
      <c r="CP13" s="4" t="s">
        <v>231</v>
      </c>
      <c r="CS13" s="5" t="s">
        <v>69</v>
      </c>
      <c r="CT13" s="6" t="s">
        <v>478</v>
      </c>
      <c r="CV13" s="106" t="s">
        <v>699</v>
      </c>
      <c r="CW13" s="107"/>
      <c r="CY13" s="2" t="s">
        <v>1</v>
      </c>
      <c r="CZ13" s="3" t="s">
        <v>2</v>
      </c>
      <c r="DB13" s="6" t="s">
        <v>269</v>
      </c>
      <c r="DC13" s="6" t="s">
        <v>20</v>
      </c>
    </row>
    <row r="14" spans="1:113" x14ac:dyDescent="0.35">
      <c r="A14" s="4" t="s">
        <v>12</v>
      </c>
      <c r="B14" s="5" t="s">
        <v>20</v>
      </c>
      <c r="E14" s="4" t="s">
        <v>15</v>
      </c>
      <c r="G14" s="19" t="s">
        <v>11</v>
      </c>
      <c r="H14" s="6" t="s">
        <v>61</v>
      </c>
      <c r="J14" s="10" t="s">
        <v>72</v>
      </c>
      <c r="K14" s="5" t="s">
        <v>85</v>
      </c>
      <c r="M14" s="19" t="s">
        <v>11</v>
      </c>
      <c r="N14" s="34" t="s">
        <v>20</v>
      </c>
      <c r="P14" s="3" t="s">
        <v>1</v>
      </c>
      <c r="Q14" s="2" t="s">
        <v>2</v>
      </c>
      <c r="S14" s="4" t="s">
        <v>48</v>
      </c>
      <c r="W14" s="5" t="s">
        <v>20</v>
      </c>
      <c r="Y14" s="20" t="s">
        <v>48</v>
      </c>
      <c r="Z14" s="4" t="s">
        <v>15</v>
      </c>
      <c r="AB14" s="21" t="s">
        <v>48</v>
      </c>
      <c r="AC14" s="6" t="s">
        <v>20</v>
      </c>
      <c r="AH14" s="3" t="s">
        <v>1</v>
      </c>
      <c r="AI14" s="2" t="s">
        <v>2</v>
      </c>
      <c r="AK14" s="106" t="s">
        <v>323</v>
      </c>
      <c r="AL14" s="107"/>
      <c r="AN14" s="4" t="s">
        <v>349</v>
      </c>
      <c r="AT14" s="3" t="s">
        <v>1</v>
      </c>
      <c r="AU14" s="2" t="s">
        <v>2</v>
      </c>
      <c r="AW14" s="106" t="s">
        <v>470</v>
      </c>
      <c r="AX14" s="107"/>
      <c r="AZ14" s="106" t="s">
        <v>489</v>
      </c>
      <c r="BA14" s="107"/>
      <c r="BC14" s="4" t="s">
        <v>389</v>
      </c>
      <c r="BD14" s="25" t="s">
        <v>233</v>
      </c>
      <c r="BL14" s="6" t="s">
        <v>264</v>
      </c>
      <c r="BO14" s="106" t="s">
        <v>552</v>
      </c>
      <c r="BP14" s="107"/>
      <c r="BR14" s="106" t="s">
        <v>565</v>
      </c>
      <c r="BS14" s="107"/>
      <c r="BY14" s="6" t="s">
        <v>466</v>
      </c>
      <c r="CA14" s="6" t="s">
        <v>269</v>
      </c>
      <c r="CB14" s="4" t="s">
        <v>22</v>
      </c>
      <c r="CD14" s="4" t="s">
        <v>398</v>
      </c>
      <c r="CG14" s="4" t="s">
        <v>231</v>
      </c>
      <c r="CH14" s="4" t="s">
        <v>589</v>
      </c>
      <c r="CJ14" s="16" t="s">
        <v>487</v>
      </c>
      <c r="CM14" s="4" t="s">
        <v>231</v>
      </c>
      <c r="CN14" s="6" t="s">
        <v>12</v>
      </c>
      <c r="CP14" s="5" t="s">
        <v>228</v>
      </c>
      <c r="CS14" s="4" t="s">
        <v>458</v>
      </c>
      <c r="CT14" s="6" t="s">
        <v>305</v>
      </c>
      <c r="CV14" s="3" t="s">
        <v>1</v>
      </c>
      <c r="CW14" s="2" t="s">
        <v>2</v>
      </c>
      <c r="CY14" s="4" t="s">
        <v>629</v>
      </c>
      <c r="CZ14" s="6" t="s">
        <v>628</v>
      </c>
      <c r="DB14" s="108" t="s">
        <v>511</v>
      </c>
      <c r="DC14" s="108"/>
      <c r="DE14" s="106" t="s">
        <v>730</v>
      </c>
      <c r="DF14" s="107"/>
    </row>
    <row r="15" spans="1:113" x14ac:dyDescent="0.35">
      <c r="A15" s="10" t="s">
        <v>11</v>
      </c>
      <c r="B15" s="6" t="s">
        <v>31</v>
      </c>
      <c r="E15" s="4" t="s">
        <v>22</v>
      </c>
      <c r="G15" s="19" t="s">
        <v>13</v>
      </c>
      <c r="H15" s="25" t="s">
        <v>61</v>
      </c>
      <c r="M15" s="25" t="s">
        <v>30</v>
      </c>
      <c r="N15" s="36" t="s">
        <v>20</v>
      </c>
      <c r="P15" s="26"/>
      <c r="Q15" s="6" t="s">
        <v>21</v>
      </c>
      <c r="S15" s="4" t="s">
        <v>48</v>
      </c>
      <c r="Y15" s="20" t="s">
        <v>11</v>
      </c>
      <c r="Z15" s="25" t="s">
        <v>21</v>
      </c>
      <c r="AC15" s="6" t="s">
        <v>21</v>
      </c>
      <c r="AE15" s="106" t="s">
        <v>236</v>
      </c>
      <c r="AF15" s="107"/>
      <c r="AH15" s="10" t="s">
        <v>145</v>
      </c>
      <c r="AI15" s="4" t="s">
        <v>52</v>
      </c>
      <c r="AK15" s="2" t="s">
        <v>1</v>
      </c>
      <c r="AL15" s="3" t="s">
        <v>2</v>
      </c>
      <c r="AN15" s="4" t="s">
        <v>231</v>
      </c>
      <c r="AQ15" s="106" t="s">
        <v>383</v>
      </c>
      <c r="AR15" s="107"/>
      <c r="AT15" s="6" t="s">
        <v>376</v>
      </c>
      <c r="AU15" s="51" t="s">
        <v>20</v>
      </c>
      <c r="AW15" s="3" t="s">
        <v>1</v>
      </c>
      <c r="AX15" s="2" t="s">
        <v>2</v>
      </c>
      <c r="AZ15" s="3" t="s">
        <v>1</v>
      </c>
      <c r="BA15" s="2" t="s">
        <v>2</v>
      </c>
      <c r="BC15" s="4" t="s">
        <v>389</v>
      </c>
      <c r="BD15" s="18" t="s">
        <v>466</v>
      </c>
      <c r="BF15" s="106" t="s">
        <v>520</v>
      </c>
      <c r="BG15" s="107"/>
      <c r="BI15" s="106" t="s">
        <v>532</v>
      </c>
      <c r="BJ15" s="107"/>
      <c r="BL15" s="4" t="s">
        <v>389</v>
      </c>
      <c r="BO15" s="2" t="s">
        <v>1</v>
      </c>
      <c r="BP15" s="3" t="s">
        <v>2</v>
      </c>
      <c r="BR15" s="3" t="s">
        <v>1</v>
      </c>
      <c r="BS15" s="2" t="s">
        <v>2</v>
      </c>
      <c r="BU15" s="106" t="s">
        <v>575</v>
      </c>
      <c r="BV15" s="107"/>
      <c r="CA15" s="4" t="s">
        <v>389</v>
      </c>
      <c r="CG15" s="4" t="s">
        <v>458</v>
      </c>
      <c r="CH15" s="6" t="s">
        <v>233</v>
      </c>
      <c r="CM15" s="6" t="s">
        <v>661</v>
      </c>
      <c r="CN15" s="6" t="s">
        <v>305</v>
      </c>
      <c r="CP15" s="4" t="s">
        <v>231</v>
      </c>
      <c r="CS15" s="6" t="s">
        <v>87</v>
      </c>
      <c r="CT15" s="6" t="s">
        <v>12</v>
      </c>
      <c r="CV15" s="6" t="s">
        <v>482</v>
      </c>
      <c r="CW15" s="4" t="s">
        <v>698</v>
      </c>
      <c r="CY15" s="4" t="s">
        <v>231</v>
      </c>
      <c r="CZ15" s="4" t="s">
        <v>62</v>
      </c>
      <c r="DE15" s="2" t="s">
        <v>1</v>
      </c>
      <c r="DF15" s="3" t="s">
        <v>2</v>
      </c>
    </row>
    <row r="16" spans="1:113" x14ac:dyDescent="0.35">
      <c r="B16" s="6" t="s">
        <v>22</v>
      </c>
      <c r="E16" s="6" t="s">
        <v>21</v>
      </c>
      <c r="G16" s="19" t="s">
        <v>63</v>
      </c>
      <c r="H16" s="5" t="s">
        <v>61</v>
      </c>
      <c r="J16" s="106" t="s">
        <v>93</v>
      </c>
      <c r="K16" s="107"/>
      <c r="M16" s="19" t="s">
        <v>48</v>
      </c>
      <c r="N16" s="35" t="s">
        <v>57</v>
      </c>
      <c r="P16" s="26"/>
      <c r="Q16" s="19" t="s">
        <v>15</v>
      </c>
      <c r="S16" s="4" t="s">
        <v>13</v>
      </c>
      <c r="V16" s="106" t="s">
        <v>177</v>
      </c>
      <c r="W16" s="107"/>
      <c r="Y16" s="20" t="s">
        <v>87</v>
      </c>
      <c r="Z16" s="6" t="s">
        <v>15</v>
      </c>
      <c r="AC16" s="10" t="s">
        <v>31</v>
      </c>
      <c r="AE16" s="11" t="s">
        <v>1</v>
      </c>
      <c r="AF16" s="3" t="s">
        <v>2</v>
      </c>
      <c r="AK16" s="19" t="s">
        <v>231</v>
      </c>
      <c r="AL16" s="48" t="s">
        <v>61</v>
      </c>
      <c r="AQ16" s="3" t="s">
        <v>1</v>
      </c>
      <c r="AR16" s="2" t="s">
        <v>2</v>
      </c>
      <c r="AT16" s="4" t="s">
        <v>69</v>
      </c>
      <c r="AU16" s="4" t="s">
        <v>396</v>
      </c>
      <c r="AW16" s="6" t="s">
        <v>253</v>
      </c>
      <c r="AX16" s="48" t="s">
        <v>315</v>
      </c>
      <c r="BA16" s="4" t="s">
        <v>72</v>
      </c>
      <c r="BC16" s="19" t="s">
        <v>458</v>
      </c>
      <c r="BD16" s="6" t="s">
        <v>20</v>
      </c>
      <c r="BF16" s="3" t="s">
        <v>1</v>
      </c>
      <c r="BG16" s="2" t="s">
        <v>2</v>
      </c>
      <c r="BI16" s="2" t="s">
        <v>1</v>
      </c>
      <c r="BJ16" s="3" t="s">
        <v>2</v>
      </c>
      <c r="BO16" s="19" t="s">
        <v>458</v>
      </c>
      <c r="BP16" s="19" t="s">
        <v>377</v>
      </c>
      <c r="BR16" s="25" t="s">
        <v>13</v>
      </c>
      <c r="BS16" s="53" t="s">
        <v>377</v>
      </c>
      <c r="BU16" s="2" t="s">
        <v>1</v>
      </c>
      <c r="BV16" s="3" t="s">
        <v>2</v>
      </c>
      <c r="BX16" s="106" t="s">
        <v>591</v>
      </c>
      <c r="BY16" s="107"/>
      <c r="CA16" s="108" t="s">
        <v>602</v>
      </c>
      <c r="CB16" s="108"/>
      <c r="CD16" s="106" t="s">
        <v>616</v>
      </c>
      <c r="CE16" s="107"/>
      <c r="CG16" s="6" t="s">
        <v>268</v>
      </c>
      <c r="CH16" s="4" t="s">
        <v>20</v>
      </c>
      <c r="CJ16" s="106" t="s">
        <v>641</v>
      </c>
      <c r="CK16" s="107"/>
      <c r="CM16" s="4" t="s">
        <v>231</v>
      </c>
      <c r="CN16" s="5" t="s">
        <v>396</v>
      </c>
      <c r="CP16" s="4" t="s">
        <v>458</v>
      </c>
      <c r="CV16" s="4" t="s">
        <v>389</v>
      </c>
      <c r="CW16" s="6" t="s">
        <v>487</v>
      </c>
      <c r="CY16" s="4" t="s">
        <v>231</v>
      </c>
      <c r="CZ16" s="4" t="s">
        <v>396</v>
      </c>
      <c r="DB16" s="106" t="s">
        <v>721</v>
      </c>
      <c r="DC16" s="107"/>
      <c r="DE16" s="10" t="s">
        <v>685</v>
      </c>
      <c r="DF16" s="6" t="s">
        <v>684</v>
      </c>
    </row>
    <row r="17" spans="1:110" x14ac:dyDescent="0.35">
      <c r="B17" s="4" t="s">
        <v>15</v>
      </c>
      <c r="G17" s="4" t="s">
        <v>48</v>
      </c>
      <c r="H17" s="6" t="s">
        <v>64</v>
      </c>
      <c r="J17" s="2" t="s">
        <v>1</v>
      </c>
      <c r="K17" s="3" t="s">
        <v>2</v>
      </c>
      <c r="M17" s="10" t="s">
        <v>40</v>
      </c>
      <c r="S17" s="4" t="s">
        <v>48</v>
      </c>
      <c r="V17" s="12" t="s">
        <v>1</v>
      </c>
      <c r="W17" s="2" t="s">
        <v>2</v>
      </c>
      <c r="Y17" s="46" t="s">
        <v>190</v>
      </c>
      <c r="Z17" s="6" t="s">
        <v>62</v>
      </c>
      <c r="AC17" s="6" t="s">
        <v>200</v>
      </c>
      <c r="AE17" s="20" t="s">
        <v>231</v>
      </c>
      <c r="AF17" s="6" t="s">
        <v>353</v>
      </c>
      <c r="AH17" s="106" t="s">
        <v>311</v>
      </c>
      <c r="AI17" s="107"/>
      <c r="AK17" s="17" t="s">
        <v>231</v>
      </c>
      <c r="AL17" s="6" t="s">
        <v>301</v>
      </c>
      <c r="AN17" s="106" t="s">
        <v>341</v>
      </c>
      <c r="AO17" s="107"/>
      <c r="AQ17" s="4" t="s">
        <v>69</v>
      </c>
      <c r="AR17" s="51" t="s">
        <v>72</v>
      </c>
      <c r="AU17" s="5" t="s">
        <v>62</v>
      </c>
      <c r="AX17" s="4" t="s">
        <v>62</v>
      </c>
      <c r="BA17" s="6" t="s">
        <v>466</v>
      </c>
      <c r="BD17" s="6" t="s">
        <v>487</v>
      </c>
      <c r="BF17" s="10" t="s">
        <v>231</v>
      </c>
      <c r="BG17" s="16" t="s">
        <v>228</v>
      </c>
      <c r="BI17" s="19" t="s">
        <v>458</v>
      </c>
      <c r="BJ17" s="25" t="s">
        <v>12</v>
      </c>
      <c r="BL17" s="106" t="s">
        <v>542</v>
      </c>
      <c r="BM17" s="107"/>
      <c r="BO17" s="4" t="s">
        <v>231</v>
      </c>
      <c r="BP17" s="48" t="s">
        <v>12</v>
      </c>
      <c r="BR17" s="19" t="s">
        <v>13</v>
      </c>
      <c r="BS17" s="25" t="s">
        <v>88</v>
      </c>
      <c r="BU17" s="19" t="s">
        <v>231</v>
      </c>
      <c r="BV17" s="25" t="s">
        <v>46</v>
      </c>
      <c r="BX17" s="3" t="s">
        <v>1</v>
      </c>
      <c r="BY17" s="2" t="s">
        <v>2</v>
      </c>
      <c r="CD17" s="3" t="s">
        <v>1</v>
      </c>
      <c r="CE17" s="2" t="s">
        <v>2</v>
      </c>
      <c r="CH17" s="4" t="s">
        <v>377</v>
      </c>
      <c r="CJ17" s="2" t="s">
        <v>1</v>
      </c>
      <c r="CK17" s="3" t="s">
        <v>2</v>
      </c>
      <c r="CP17" s="16" t="s">
        <v>274</v>
      </c>
      <c r="CS17" s="106" t="s">
        <v>687</v>
      </c>
      <c r="CT17" s="107"/>
      <c r="CW17" s="105" t="s">
        <v>478</v>
      </c>
      <c r="DB17" s="2" t="s">
        <v>1</v>
      </c>
      <c r="DC17" s="3" t="s">
        <v>2</v>
      </c>
      <c r="DE17" s="4" t="s">
        <v>231</v>
      </c>
      <c r="DF17" s="6" t="s">
        <v>576</v>
      </c>
    </row>
    <row r="18" spans="1:110" x14ac:dyDescent="0.35">
      <c r="B18" s="4" t="s">
        <v>15</v>
      </c>
      <c r="D18" s="106" t="s">
        <v>42</v>
      </c>
      <c r="E18" s="107"/>
      <c r="G18" s="10" t="s">
        <v>48</v>
      </c>
      <c r="H18" s="6" t="s">
        <v>20</v>
      </c>
      <c r="J18" s="13" t="s">
        <v>48</v>
      </c>
      <c r="M18" s="10" t="s">
        <v>350</v>
      </c>
      <c r="P18" s="106" t="s">
        <v>149</v>
      </c>
      <c r="Q18" s="107"/>
      <c r="V18" s="20" t="s">
        <v>11</v>
      </c>
      <c r="W18" s="4" t="s">
        <v>73</v>
      </c>
      <c r="Z18" s="6" t="s">
        <v>61</v>
      </c>
      <c r="AC18" s="24" t="s">
        <v>351</v>
      </c>
      <c r="AE18" s="20" t="s">
        <v>13</v>
      </c>
      <c r="AF18" s="19" t="s">
        <v>72</v>
      </c>
      <c r="AH18" s="2" t="s">
        <v>1</v>
      </c>
      <c r="AI18" s="3" t="s">
        <v>2</v>
      </c>
      <c r="AK18" s="17" t="s">
        <v>231</v>
      </c>
      <c r="AL18" s="4" t="s">
        <v>72</v>
      </c>
      <c r="AN18" s="2" t="s">
        <v>1</v>
      </c>
      <c r="AO18" s="3" t="s">
        <v>2</v>
      </c>
      <c r="AR18" s="4" t="s">
        <v>72</v>
      </c>
      <c r="AX18" s="4" t="s">
        <v>396</v>
      </c>
      <c r="BF18" s="4" t="s">
        <v>458</v>
      </c>
      <c r="BG18" s="19" t="s">
        <v>305</v>
      </c>
      <c r="BI18" s="19" t="s">
        <v>231</v>
      </c>
      <c r="BJ18" s="19" t="s">
        <v>377</v>
      </c>
      <c r="BL18" s="3" t="s">
        <v>1</v>
      </c>
      <c r="BM18" s="2" t="s">
        <v>2</v>
      </c>
      <c r="BO18" s="4" t="s">
        <v>231</v>
      </c>
      <c r="BR18" s="10" t="s">
        <v>231</v>
      </c>
      <c r="BS18" s="4" t="s">
        <v>377</v>
      </c>
      <c r="BV18" s="5" t="s">
        <v>576</v>
      </c>
      <c r="BX18" s="19" t="s">
        <v>10</v>
      </c>
      <c r="BY18" s="19" t="s">
        <v>200</v>
      </c>
      <c r="CA18" s="106" t="s">
        <v>604</v>
      </c>
      <c r="CB18" s="107"/>
      <c r="CD18" s="17" t="s">
        <v>398</v>
      </c>
      <c r="CE18" s="4" t="s">
        <v>20</v>
      </c>
      <c r="CH18" s="6" t="s">
        <v>20</v>
      </c>
      <c r="CJ18" s="4" t="s">
        <v>229</v>
      </c>
      <c r="CK18" s="4" t="s">
        <v>377</v>
      </c>
      <c r="CM18" s="106" t="s">
        <v>662</v>
      </c>
      <c r="CN18" s="107"/>
      <c r="CP18" s="16" t="s">
        <v>274</v>
      </c>
      <c r="CS18" s="2" t="s">
        <v>1</v>
      </c>
      <c r="CT18" s="3" t="s">
        <v>2</v>
      </c>
      <c r="CW18" s="5" t="s">
        <v>487</v>
      </c>
      <c r="CY18" s="106" t="s">
        <v>711</v>
      </c>
      <c r="CZ18" s="107"/>
      <c r="DB18" s="4" t="s">
        <v>231</v>
      </c>
      <c r="DC18" s="6" t="s">
        <v>628</v>
      </c>
      <c r="DE18" s="4" t="s">
        <v>482</v>
      </c>
      <c r="DF18" s="6" t="s">
        <v>466</v>
      </c>
    </row>
    <row r="19" spans="1:110" x14ac:dyDescent="0.35">
      <c r="B19" s="4" t="s">
        <v>16</v>
      </c>
      <c r="D19" s="3" t="s">
        <v>1</v>
      </c>
      <c r="E19" s="2" t="s">
        <v>2</v>
      </c>
      <c r="P19" s="3" t="s">
        <v>1</v>
      </c>
      <c r="Q19" s="2" t="s">
        <v>2</v>
      </c>
      <c r="S19" s="106" t="s">
        <v>159</v>
      </c>
      <c r="T19" s="107"/>
      <c r="V19" s="21" t="s">
        <v>44</v>
      </c>
      <c r="W19" s="25" t="s">
        <v>17</v>
      </c>
      <c r="Z19" s="6" t="s">
        <v>20</v>
      </c>
      <c r="AB19" s="108" t="s">
        <v>218</v>
      </c>
      <c r="AC19" s="108"/>
      <c r="AH19" s="53" t="s">
        <v>231</v>
      </c>
      <c r="AI19" s="48" t="s">
        <v>233</v>
      </c>
      <c r="AK19" s="4" t="s">
        <v>13</v>
      </c>
      <c r="AN19" s="4" t="s">
        <v>69</v>
      </c>
      <c r="AO19" s="4" t="s">
        <v>305</v>
      </c>
      <c r="AR19" s="4" t="s">
        <v>72</v>
      </c>
      <c r="AT19" s="106" t="s">
        <v>397</v>
      </c>
      <c r="AU19" s="107"/>
      <c r="AZ19" s="106" t="s">
        <v>490</v>
      </c>
      <c r="BA19" s="107"/>
      <c r="BC19" s="106" t="s">
        <v>507</v>
      </c>
      <c r="BD19" s="107"/>
      <c r="BF19" s="10" t="s">
        <v>69</v>
      </c>
      <c r="BI19" s="19" t="s">
        <v>458</v>
      </c>
      <c r="BJ19" s="25" t="s">
        <v>46</v>
      </c>
      <c r="BL19" s="26"/>
      <c r="BM19" s="19" t="s">
        <v>377</v>
      </c>
      <c r="BO19" s="10" t="s">
        <v>458</v>
      </c>
      <c r="BV19" s="67" t="s">
        <v>20</v>
      </c>
      <c r="BX19" s="6" t="s">
        <v>69</v>
      </c>
      <c r="BY19" s="4" t="s">
        <v>20</v>
      </c>
      <c r="CA19" s="2" t="s">
        <v>1</v>
      </c>
      <c r="CB19" s="3" t="s">
        <v>2</v>
      </c>
      <c r="CE19" s="4" t="s">
        <v>305</v>
      </c>
      <c r="CH19" s="4" t="s">
        <v>396</v>
      </c>
      <c r="CJ19" s="6" t="s">
        <v>482</v>
      </c>
      <c r="CK19" s="6" t="s">
        <v>233</v>
      </c>
      <c r="CM19" s="2" t="s">
        <v>1</v>
      </c>
      <c r="CN19" s="3" t="s">
        <v>2</v>
      </c>
      <c r="CP19" s="16" t="s">
        <v>274</v>
      </c>
      <c r="CS19" s="4" t="s">
        <v>13</v>
      </c>
      <c r="CT19" s="6" t="s">
        <v>487</v>
      </c>
      <c r="CW19" s="4" t="s">
        <v>628</v>
      </c>
      <c r="CY19" s="3" t="s">
        <v>1</v>
      </c>
      <c r="CZ19" s="2" t="s">
        <v>2</v>
      </c>
      <c r="DB19" s="4" t="s">
        <v>231</v>
      </c>
      <c r="DE19" s="4" t="s">
        <v>398</v>
      </c>
      <c r="DF19" s="6" t="s">
        <v>684</v>
      </c>
    </row>
    <row r="20" spans="1:110" x14ac:dyDescent="0.35">
      <c r="B20" s="6" t="s">
        <v>16</v>
      </c>
      <c r="D20" s="14" t="s">
        <v>44</v>
      </c>
      <c r="E20" s="6" t="s">
        <v>43</v>
      </c>
      <c r="G20" s="106" t="s">
        <v>66</v>
      </c>
      <c r="H20" s="107"/>
      <c r="J20" s="111" t="s">
        <v>94</v>
      </c>
      <c r="K20" s="111"/>
      <c r="M20" s="106" t="s">
        <v>105</v>
      </c>
      <c r="N20" s="107"/>
      <c r="P20" s="26"/>
      <c r="Q20" s="4" t="s">
        <v>15</v>
      </c>
      <c r="S20" s="3" t="s">
        <v>1</v>
      </c>
      <c r="T20" s="2" t="s">
        <v>2</v>
      </c>
      <c r="V20" s="21" t="s">
        <v>48</v>
      </c>
      <c r="W20" s="6" t="s">
        <v>43</v>
      </c>
      <c r="AE20" s="106" t="s">
        <v>237</v>
      </c>
      <c r="AF20" s="107"/>
      <c r="AH20" s="10" t="s">
        <v>231</v>
      </c>
      <c r="AI20" s="10" t="s">
        <v>20</v>
      </c>
      <c r="AN20" s="4" t="s">
        <v>12</v>
      </c>
      <c r="AT20" s="3" t="s">
        <v>1</v>
      </c>
      <c r="AU20" s="2" t="s">
        <v>2</v>
      </c>
      <c r="AW20" s="106" t="s">
        <v>471</v>
      </c>
      <c r="AX20" s="107"/>
      <c r="AZ20" s="3" t="s">
        <v>1</v>
      </c>
      <c r="BA20" s="2" t="s">
        <v>2</v>
      </c>
      <c r="BC20" s="2" t="s">
        <v>1</v>
      </c>
      <c r="BD20" s="3" t="s">
        <v>2</v>
      </c>
      <c r="BM20" s="4" t="s">
        <v>22</v>
      </c>
      <c r="BO20" s="4" t="s">
        <v>87</v>
      </c>
      <c r="BR20" s="106" t="s">
        <v>566</v>
      </c>
      <c r="BS20" s="107"/>
      <c r="BU20" s="108" t="s">
        <v>577</v>
      </c>
      <c r="BV20" s="108"/>
      <c r="CA20" s="4" t="s">
        <v>10</v>
      </c>
      <c r="CB20" s="6" t="s">
        <v>200</v>
      </c>
      <c r="CJ20" s="4" t="s">
        <v>231</v>
      </c>
      <c r="CK20" s="4" t="s">
        <v>377</v>
      </c>
      <c r="CM20" s="6" t="s">
        <v>482</v>
      </c>
      <c r="CN20" s="6" t="s">
        <v>22</v>
      </c>
      <c r="CP20" s="4" t="s">
        <v>389</v>
      </c>
      <c r="CS20" s="6" t="s">
        <v>342</v>
      </c>
      <c r="CT20" s="6" t="s">
        <v>508</v>
      </c>
      <c r="CY20" s="4" t="s">
        <v>231</v>
      </c>
      <c r="CZ20" s="4" t="s">
        <v>305</v>
      </c>
      <c r="DB20" s="6" t="s">
        <v>458</v>
      </c>
      <c r="DE20" s="6" t="s">
        <v>228</v>
      </c>
      <c r="DF20" s="5" t="s">
        <v>684</v>
      </c>
    </row>
    <row r="21" spans="1:110" x14ac:dyDescent="0.35">
      <c r="B21" s="10" t="s">
        <v>22</v>
      </c>
      <c r="D21" s="109" t="s">
        <v>137</v>
      </c>
      <c r="E21" s="110"/>
      <c r="G21" s="2" t="s">
        <v>1</v>
      </c>
      <c r="H21" s="3" t="s">
        <v>2</v>
      </c>
      <c r="J21" s="2" t="s">
        <v>1</v>
      </c>
      <c r="K21" s="3" t="s">
        <v>2</v>
      </c>
      <c r="M21" s="11" t="s">
        <v>1</v>
      </c>
      <c r="N21" s="12" t="s">
        <v>2</v>
      </c>
      <c r="S21" s="40" t="s">
        <v>48</v>
      </c>
      <c r="T21" s="6" t="s">
        <v>88</v>
      </c>
      <c r="V21" s="21" t="s">
        <v>11</v>
      </c>
      <c r="W21" s="5" t="s">
        <v>143</v>
      </c>
      <c r="Y21" s="106" t="s">
        <v>197</v>
      </c>
      <c r="Z21" s="107"/>
      <c r="AB21" s="106" t="s">
        <v>219</v>
      </c>
      <c r="AC21" s="107"/>
      <c r="AE21" s="11" t="s">
        <v>1</v>
      </c>
      <c r="AF21" s="3" t="s">
        <v>2</v>
      </c>
      <c r="AH21" s="6" t="s">
        <v>248</v>
      </c>
      <c r="AK21" s="106" t="s">
        <v>324</v>
      </c>
      <c r="AL21" s="107"/>
      <c r="AQ21" s="106" t="s">
        <v>384</v>
      </c>
      <c r="AR21" s="107"/>
      <c r="AU21" s="6" t="s">
        <v>46</v>
      </c>
      <c r="AW21" s="2" t="s">
        <v>1</v>
      </c>
      <c r="AX21" s="3" t="s">
        <v>2</v>
      </c>
      <c r="AZ21" s="4" t="s">
        <v>228</v>
      </c>
      <c r="BA21" s="19" t="s">
        <v>72</v>
      </c>
      <c r="BC21" s="4" t="s">
        <v>13</v>
      </c>
      <c r="BD21" s="18" t="s">
        <v>317</v>
      </c>
      <c r="BF21" s="106" t="s">
        <v>521</v>
      </c>
      <c r="BG21" s="107"/>
      <c r="BI21" s="106" t="s">
        <v>533</v>
      </c>
      <c r="BJ21" s="107"/>
      <c r="BM21" s="4" t="s">
        <v>377</v>
      </c>
      <c r="BR21" s="3" t="s">
        <v>1</v>
      </c>
      <c r="BS21" s="2" t="s">
        <v>2</v>
      </c>
      <c r="BX21" s="106" t="s">
        <v>592</v>
      </c>
      <c r="BY21" s="107"/>
      <c r="CA21" s="6" t="s">
        <v>201</v>
      </c>
      <c r="CD21" s="106" t="s">
        <v>617</v>
      </c>
      <c r="CE21" s="107"/>
      <c r="CG21" s="106" t="s">
        <v>632</v>
      </c>
      <c r="CH21" s="107"/>
      <c r="CJ21" s="4" t="s">
        <v>229</v>
      </c>
      <c r="CK21" s="4" t="s">
        <v>377</v>
      </c>
      <c r="CM21" s="4" t="s">
        <v>458</v>
      </c>
      <c r="CN21" s="6" t="s">
        <v>12</v>
      </c>
      <c r="CS21" s="4" t="s">
        <v>458</v>
      </c>
      <c r="CT21" s="6" t="s">
        <v>377</v>
      </c>
      <c r="CV21" s="106" t="s">
        <v>700</v>
      </c>
      <c r="CW21" s="107"/>
      <c r="CY21" s="4" t="s">
        <v>231</v>
      </c>
      <c r="CZ21" s="4" t="s">
        <v>628</v>
      </c>
      <c r="DB21" s="4" t="s">
        <v>398</v>
      </c>
      <c r="DE21" s="4" t="s">
        <v>398</v>
      </c>
      <c r="DF21" s="4" t="s">
        <v>377</v>
      </c>
    </row>
    <row r="22" spans="1:110" x14ac:dyDescent="0.35">
      <c r="G22" s="19" t="s">
        <v>11</v>
      </c>
      <c r="H22" s="6" t="s">
        <v>46</v>
      </c>
      <c r="J22" s="19" t="s">
        <v>13</v>
      </c>
      <c r="K22" s="25" t="s">
        <v>43</v>
      </c>
      <c r="M22" s="4" t="s">
        <v>71</v>
      </c>
      <c r="N22" s="6" t="s">
        <v>15</v>
      </c>
      <c r="P22" s="106" t="s">
        <v>150</v>
      </c>
      <c r="Q22" s="107"/>
      <c r="T22" s="6" t="s">
        <v>88</v>
      </c>
      <c r="W22" s="4" t="s">
        <v>15</v>
      </c>
      <c r="Y22" s="11" t="s">
        <v>1</v>
      </c>
      <c r="Z22" s="3" t="s">
        <v>2</v>
      </c>
      <c r="AB22" s="11" t="s">
        <v>1</v>
      </c>
      <c r="AC22" s="3" t="s">
        <v>2</v>
      </c>
      <c r="AE22" s="25" t="s">
        <v>349</v>
      </c>
      <c r="AF22" s="4" t="s">
        <v>12</v>
      </c>
      <c r="AH22" s="4" t="s">
        <v>69</v>
      </c>
      <c r="AK22" s="2" t="s">
        <v>1</v>
      </c>
      <c r="AL22" s="3" t="s">
        <v>2</v>
      </c>
      <c r="AN22" s="106" t="s">
        <v>344</v>
      </c>
      <c r="AO22" s="107"/>
      <c r="AQ22" s="2" t="s">
        <v>1</v>
      </c>
      <c r="AR22" s="3" t="s">
        <v>2</v>
      </c>
      <c r="AU22" s="4" t="s">
        <v>377</v>
      </c>
      <c r="AW22" s="4" t="s">
        <v>458</v>
      </c>
      <c r="AZ22" s="10" t="s">
        <v>479</v>
      </c>
      <c r="BA22" s="19" t="s">
        <v>396</v>
      </c>
      <c r="BC22" s="10" t="s">
        <v>231</v>
      </c>
      <c r="BD22" s="25" t="s">
        <v>22</v>
      </c>
      <c r="BF22" s="3" t="s">
        <v>1</v>
      </c>
      <c r="BG22" s="2" t="s">
        <v>2</v>
      </c>
      <c r="BI22" s="2" t="s">
        <v>1</v>
      </c>
      <c r="BJ22" s="3" t="s">
        <v>2</v>
      </c>
      <c r="BM22" s="4" t="s">
        <v>377</v>
      </c>
      <c r="BO22" s="106" t="s">
        <v>554</v>
      </c>
      <c r="BP22" s="107"/>
      <c r="BR22" s="19" t="s">
        <v>13</v>
      </c>
      <c r="BS22" s="53" t="s">
        <v>20</v>
      </c>
      <c r="BU22" s="106" t="s">
        <v>578</v>
      </c>
      <c r="BV22" s="107"/>
      <c r="BX22" s="2" t="s">
        <v>1</v>
      </c>
      <c r="BY22" s="3" t="s">
        <v>2</v>
      </c>
      <c r="CD22" s="3" t="s">
        <v>1</v>
      </c>
      <c r="CE22" s="2" t="s">
        <v>2</v>
      </c>
      <c r="CG22" s="2" t="s">
        <v>1</v>
      </c>
      <c r="CH22" s="3" t="s">
        <v>2</v>
      </c>
      <c r="CJ22" s="4" t="s">
        <v>458</v>
      </c>
      <c r="CK22" s="6" t="s">
        <v>12</v>
      </c>
      <c r="CM22" s="4" t="s">
        <v>231</v>
      </c>
      <c r="CP22" s="106" t="s">
        <v>674</v>
      </c>
      <c r="CQ22" s="107"/>
      <c r="CS22" s="4" t="s">
        <v>231</v>
      </c>
      <c r="CT22" s="4" t="s">
        <v>305</v>
      </c>
      <c r="CV22" s="2" t="s">
        <v>1</v>
      </c>
      <c r="CW22" s="3" t="s">
        <v>2</v>
      </c>
      <c r="CZ22" s="4" t="s">
        <v>305</v>
      </c>
      <c r="DE22" s="4" t="s">
        <v>398</v>
      </c>
      <c r="DF22" s="5" t="s">
        <v>576</v>
      </c>
    </row>
    <row r="23" spans="1:110" x14ac:dyDescent="0.35">
      <c r="A23" s="111" t="s">
        <v>6</v>
      </c>
      <c r="B23" s="111"/>
      <c r="D23" s="106" t="s">
        <v>45</v>
      </c>
      <c r="E23" s="107"/>
      <c r="G23" s="25" t="s">
        <v>350</v>
      </c>
      <c r="H23" s="25" t="s">
        <v>21</v>
      </c>
      <c r="J23" s="19" t="s">
        <v>11</v>
      </c>
      <c r="K23" s="25" t="s">
        <v>61</v>
      </c>
      <c r="M23" s="4" t="s">
        <v>48</v>
      </c>
      <c r="N23" s="6" t="s">
        <v>22</v>
      </c>
      <c r="P23" s="2" t="s">
        <v>1</v>
      </c>
      <c r="Q23" s="3" t="s">
        <v>2</v>
      </c>
      <c r="T23" s="5" t="s">
        <v>88</v>
      </c>
      <c r="Y23" s="19" t="s">
        <v>13</v>
      </c>
      <c r="Z23" s="33" t="s">
        <v>61</v>
      </c>
      <c r="AB23" s="25" t="s">
        <v>216</v>
      </c>
      <c r="AC23" s="10" t="s">
        <v>88</v>
      </c>
      <c r="AE23" s="19" t="s">
        <v>231</v>
      </c>
      <c r="AF23" s="26"/>
      <c r="AK23" s="25" t="s">
        <v>354</v>
      </c>
      <c r="AL23" s="51" t="s">
        <v>22</v>
      </c>
      <c r="AN23" s="3" t="s">
        <v>1</v>
      </c>
      <c r="AO23" s="2" t="s">
        <v>2</v>
      </c>
      <c r="AQ23" s="4" t="s">
        <v>231</v>
      </c>
      <c r="AR23" s="48" t="s">
        <v>317</v>
      </c>
      <c r="AU23" s="6" t="s">
        <v>72</v>
      </c>
      <c r="AW23" s="4" t="s">
        <v>10</v>
      </c>
      <c r="BC23" s="19" t="s">
        <v>13</v>
      </c>
      <c r="BD23" s="5" t="s">
        <v>508</v>
      </c>
      <c r="BF23" s="19" t="s">
        <v>398</v>
      </c>
      <c r="BG23" s="19" t="s">
        <v>377</v>
      </c>
      <c r="BI23" s="19" t="s">
        <v>231</v>
      </c>
      <c r="BJ23" s="19" t="s">
        <v>377</v>
      </c>
      <c r="BO23" s="3" t="s">
        <v>1</v>
      </c>
      <c r="BP23" s="2" t="s">
        <v>2</v>
      </c>
      <c r="BR23" s="4" t="s">
        <v>561</v>
      </c>
      <c r="BS23" s="4" t="s">
        <v>233</v>
      </c>
      <c r="BU23" s="2" t="s">
        <v>1</v>
      </c>
      <c r="BV23" s="3" t="s">
        <v>2</v>
      </c>
      <c r="BX23" s="6" t="s">
        <v>228</v>
      </c>
      <c r="CA23" s="106" t="s">
        <v>605</v>
      </c>
      <c r="CB23" s="107"/>
      <c r="CE23" s="4" t="s">
        <v>396</v>
      </c>
      <c r="CG23" s="4" t="s">
        <v>494</v>
      </c>
      <c r="CH23" s="16" t="s">
        <v>626</v>
      </c>
      <c r="CJ23" s="10" t="s">
        <v>231</v>
      </c>
      <c r="CK23" s="4" t="s">
        <v>377</v>
      </c>
      <c r="CP23" s="3" t="s">
        <v>1</v>
      </c>
      <c r="CQ23" s="2" t="s">
        <v>2</v>
      </c>
      <c r="CT23" s="5" t="s">
        <v>466</v>
      </c>
      <c r="CV23" s="4" t="s">
        <v>231</v>
      </c>
      <c r="CW23" s="6" t="s">
        <v>12</v>
      </c>
      <c r="CZ23" s="6" t="s">
        <v>233</v>
      </c>
      <c r="DB23" s="106" t="s">
        <v>722</v>
      </c>
      <c r="DC23" s="107"/>
      <c r="DE23" s="10" t="s">
        <v>231</v>
      </c>
    </row>
    <row r="24" spans="1:110" x14ac:dyDescent="0.35">
      <c r="A24" s="3" t="s">
        <v>1</v>
      </c>
      <c r="B24" s="2" t="s">
        <v>2</v>
      </c>
      <c r="D24" s="2" t="s">
        <v>1</v>
      </c>
      <c r="E24" s="3" t="s">
        <v>2</v>
      </c>
      <c r="G24" s="10" t="s">
        <v>39</v>
      </c>
      <c r="H24" s="4" t="s">
        <v>15</v>
      </c>
      <c r="J24" s="19" t="s">
        <v>11</v>
      </c>
      <c r="K24" s="25" t="s">
        <v>22</v>
      </c>
      <c r="P24" s="20" t="s">
        <v>48</v>
      </c>
      <c r="Q24" s="4" t="s">
        <v>20</v>
      </c>
      <c r="T24" s="6" t="s">
        <v>64</v>
      </c>
      <c r="V24" s="106" t="s">
        <v>178</v>
      </c>
      <c r="W24" s="107"/>
      <c r="Y24" s="10" t="s">
        <v>48</v>
      </c>
      <c r="Z24" s="35" t="s">
        <v>85</v>
      </c>
      <c r="AB24" s="19" t="s">
        <v>13</v>
      </c>
      <c r="AC24" s="6" t="s">
        <v>200</v>
      </c>
      <c r="AE24" s="4" t="s">
        <v>231</v>
      </c>
      <c r="AH24" s="106" t="s">
        <v>312</v>
      </c>
      <c r="AI24" s="107"/>
      <c r="AK24" s="17" t="s">
        <v>352</v>
      </c>
      <c r="AL24" s="4" t="s">
        <v>233</v>
      </c>
      <c r="AN24" s="4" t="s">
        <v>231</v>
      </c>
      <c r="AO24" s="6" t="s">
        <v>233</v>
      </c>
      <c r="AQ24" s="4" t="s">
        <v>231</v>
      </c>
      <c r="AR24" s="4" t="s">
        <v>377</v>
      </c>
      <c r="AW24" s="4" t="s">
        <v>458</v>
      </c>
      <c r="AZ24" s="106" t="s">
        <v>491</v>
      </c>
      <c r="BA24" s="107"/>
      <c r="BC24" s="4" t="s">
        <v>10</v>
      </c>
      <c r="BD24" s="4" t="s">
        <v>377</v>
      </c>
      <c r="BF24" s="10" t="s">
        <v>13</v>
      </c>
      <c r="BG24" s="19" t="s">
        <v>20</v>
      </c>
      <c r="BI24" s="4" t="s">
        <v>231</v>
      </c>
      <c r="BL24" s="106" t="s">
        <v>543</v>
      </c>
      <c r="BM24" s="107"/>
      <c r="BO24" s="19" t="s">
        <v>13</v>
      </c>
      <c r="BP24" s="19" t="s">
        <v>396</v>
      </c>
      <c r="BR24" s="24" t="s">
        <v>342</v>
      </c>
      <c r="BU24" s="19" t="s">
        <v>231</v>
      </c>
      <c r="BV24" s="25" t="s">
        <v>12</v>
      </c>
      <c r="BX24" s="4" t="s">
        <v>10</v>
      </c>
      <c r="CA24" s="2" t="s">
        <v>1</v>
      </c>
      <c r="CB24" s="3" t="s">
        <v>2</v>
      </c>
      <c r="CG24" s="4" t="s">
        <v>231</v>
      </c>
      <c r="CH24" s="4" t="s">
        <v>377</v>
      </c>
      <c r="CK24" s="6" t="s">
        <v>12</v>
      </c>
      <c r="CM24" s="106" t="s">
        <v>663</v>
      </c>
      <c r="CN24" s="107"/>
      <c r="CP24" s="10" t="s">
        <v>231</v>
      </c>
      <c r="CQ24" s="6" t="s">
        <v>275</v>
      </c>
      <c r="CT24" s="6" t="s">
        <v>12</v>
      </c>
      <c r="CV24" s="4" t="s">
        <v>231</v>
      </c>
      <c r="CZ24" s="4" t="s">
        <v>628</v>
      </c>
      <c r="DB24" s="2" t="s">
        <v>1</v>
      </c>
      <c r="DC24" s="3" t="s">
        <v>2</v>
      </c>
    </row>
    <row r="25" spans="1:110" x14ac:dyDescent="0.35">
      <c r="A25" s="4" t="s">
        <v>13</v>
      </c>
      <c r="B25" s="4" t="s">
        <v>17</v>
      </c>
      <c r="D25" s="4" t="s">
        <v>11</v>
      </c>
      <c r="E25" s="4" t="s">
        <v>17</v>
      </c>
      <c r="G25" s="10" t="s">
        <v>11</v>
      </c>
      <c r="H25" s="6" t="s">
        <v>57</v>
      </c>
      <c r="J25" s="10" t="s">
        <v>13</v>
      </c>
      <c r="K25" s="25" t="s">
        <v>61</v>
      </c>
      <c r="M25" s="106" t="s">
        <v>135</v>
      </c>
      <c r="N25" s="107"/>
      <c r="P25" s="20" t="s">
        <v>69</v>
      </c>
      <c r="Q25" s="25" t="s">
        <v>61</v>
      </c>
      <c r="T25" s="6" t="s">
        <v>31</v>
      </c>
      <c r="V25" s="11" t="s">
        <v>1</v>
      </c>
      <c r="W25" s="3" t="s">
        <v>2</v>
      </c>
      <c r="Y25" s="19" t="s">
        <v>34</v>
      </c>
      <c r="Z25" s="48" t="s">
        <v>57</v>
      </c>
      <c r="AB25" s="5" t="s">
        <v>87</v>
      </c>
      <c r="AC25" s="6" t="s">
        <v>180</v>
      </c>
      <c r="AE25" s="4" t="s">
        <v>13</v>
      </c>
      <c r="AH25" s="2" t="s">
        <v>1</v>
      </c>
      <c r="AI25" s="3" t="s">
        <v>2</v>
      </c>
      <c r="AK25" s="17" t="s">
        <v>231</v>
      </c>
      <c r="AL25" s="4" t="s">
        <v>72</v>
      </c>
      <c r="AN25" s="6" t="s">
        <v>342</v>
      </c>
      <c r="AO25" s="4" t="s">
        <v>72</v>
      </c>
      <c r="AQ25" s="4" t="s">
        <v>228</v>
      </c>
      <c r="AT25" s="106" t="s">
        <v>459</v>
      </c>
      <c r="AU25" s="107"/>
      <c r="AZ25" s="2" t="s">
        <v>1</v>
      </c>
      <c r="BA25" s="3" t="s">
        <v>2</v>
      </c>
      <c r="BC25" s="4" t="s">
        <v>14</v>
      </c>
      <c r="BF25" s="25" t="s">
        <v>376</v>
      </c>
      <c r="BG25" s="19" t="s">
        <v>88</v>
      </c>
      <c r="BL25" s="2" t="s">
        <v>1</v>
      </c>
      <c r="BM25" s="3" t="s">
        <v>2</v>
      </c>
      <c r="BO25" s="4" t="s">
        <v>69</v>
      </c>
      <c r="BP25" s="4" t="s">
        <v>20</v>
      </c>
      <c r="BR25" s="108" t="s">
        <v>567</v>
      </c>
      <c r="BS25" s="108"/>
      <c r="BU25" s="4" t="s">
        <v>231</v>
      </c>
      <c r="BV25" s="6" t="s">
        <v>315</v>
      </c>
      <c r="CA25" s="5" t="s">
        <v>269</v>
      </c>
      <c r="CB25" s="10" t="s">
        <v>200</v>
      </c>
      <c r="CD25" s="106" t="s">
        <v>618</v>
      </c>
      <c r="CE25" s="107"/>
      <c r="CG25" s="4" t="s">
        <v>458</v>
      </c>
      <c r="CH25" s="6" t="s">
        <v>317</v>
      </c>
      <c r="CK25" s="5" t="s">
        <v>12</v>
      </c>
      <c r="CM25" s="2" t="s">
        <v>1</v>
      </c>
      <c r="CN25" s="3" t="s">
        <v>2</v>
      </c>
      <c r="CP25" s="6" t="s">
        <v>389</v>
      </c>
      <c r="CQ25" s="4" t="s">
        <v>305</v>
      </c>
      <c r="CT25" s="4" t="s">
        <v>305</v>
      </c>
      <c r="CV25" s="4" t="s">
        <v>231</v>
      </c>
      <c r="CZ25" s="5" t="s">
        <v>233</v>
      </c>
      <c r="DB25" s="4" t="s">
        <v>231</v>
      </c>
      <c r="DC25" s="5" t="s">
        <v>233</v>
      </c>
      <c r="DE25" s="106" t="s">
        <v>731</v>
      </c>
      <c r="DF25" s="107"/>
    </row>
    <row r="26" spans="1:110" x14ac:dyDescent="0.35">
      <c r="A26" s="108" t="s">
        <v>7</v>
      </c>
      <c r="B26" s="108"/>
      <c r="D26" s="4" t="s">
        <v>10</v>
      </c>
      <c r="E26" s="6" t="s">
        <v>31</v>
      </c>
      <c r="G26" s="19" t="s">
        <v>40</v>
      </c>
      <c r="H26" s="6" t="s">
        <v>57</v>
      </c>
      <c r="J26" s="26"/>
      <c r="K26" s="18" t="s">
        <v>61</v>
      </c>
      <c r="M26" s="37" t="s">
        <v>1</v>
      </c>
      <c r="N26" s="2" t="s">
        <v>2</v>
      </c>
      <c r="P26" s="4" t="s">
        <v>13</v>
      </c>
      <c r="Q26" s="6" t="s">
        <v>15</v>
      </c>
      <c r="S26" s="109" t="s">
        <v>137</v>
      </c>
      <c r="T26" s="110"/>
      <c r="V26" s="20" t="s">
        <v>72</v>
      </c>
      <c r="W26" s="6" t="s">
        <v>88</v>
      </c>
      <c r="Y26" s="19" t="s">
        <v>34</v>
      </c>
      <c r="Z26" s="48" t="s">
        <v>88</v>
      </c>
      <c r="AE26" s="4" t="s">
        <v>229</v>
      </c>
      <c r="AH26" s="53" t="s">
        <v>313</v>
      </c>
      <c r="AI26" s="66" t="s">
        <v>52</v>
      </c>
      <c r="AK26" s="4" t="s">
        <v>352</v>
      </c>
      <c r="AN26" s="4" t="s">
        <v>69</v>
      </c>
      <c r="AO26" s="4" t="s">
        <v>20</v>
      </c>
      <c r="AQ26" s="4" t="s">
        <v>231</v>
      </c>
      <c r="AT26" s="3" t="s">
        <v>1</v>
      </c>
      <c r="AU26" s="2" t="s">
        <v>2</v>
      </c>
      <c r="AW26" s="106" t="s">
        <v>474</v>
      </c>
      <c r="AX26" s="107"/>
      <c r="AZ26" s="4" t="s">
        <v>13</v>
      </c>
      <c r="BA26" s="51" t="s">
        <v>305</v>
      </c>
      <c r="BC26" s="4" t="s">
        <v>376</v>
      </c>
      <c r="BI26" s="106" t="s">
        <v>534</v>
      </c>
      <c r="BJ26" s="107"/>
      <c r="BL26" s="19" t="s">
        <v>458</v>
      </c>
      <c r="BM26" s="98" t="s">
        <v>69</v>
      </c>
      <c r="BO26" s="4" t="s">
        <v>13</v>
      </c>
      <c r="BP26" s="4" t="s">
        <v>305</v>
      </c>
      <c r="BU26" s="16" t="s">
        <v>270</v>
      </c>
      <c r="BV26" s="4" t="s">
        <v>377</v>
      </c>
      <c r="BX26" s="106" t="s">
        <v>593</v>
      </c>
      <c r="BY26" s="107"/>
      <c r="CA26" s="4" t="s">
        <v>10</v>
      </c>
      <c r="CD26" s="2" t="s">
        <v>1</v>
      </c>
      <c r="CE26" s="3" t="s">
        <v>2</v>
      </c>
      <c r="CK26" s="6" t="s">
        <v>377</v>
      </c>
      <c r="CM26" s="4" t="s">
        <v>231</v>
      </c>
      <c r="CN26" s="4" t="s">
        <v>377</v>
      </c>
      <c r="CP26" s="4" t="s">
        <v>500</v>
      </c>
      <c r="CQ26" s="4" t="s">
        <v>377</v>
      </c>
      <c r="CT26" s="6" t="s">
        <v>275</v>
      </c>
      <c r="CV26" s="4" t="s">
        <v>269</v>
      </c>
      <c r="CZ26" s="4" t="s">
        <v>628</v>
      </c>
      <c r="DB26" s="4" t="s">
        <v>629</v>
      </c>
      <c r="DC26" s="6" t="s">
        <v>478</v>
      </c>
      <c r="DE26" s="2" t="s">
        <v>1</v>
      </c>
      <c r="DF26" s="3" t="s">
        <v>2</v>
      </c>
    </row>
    <row r="27" spans="1:110" x14ac:dyDescent="0.35">
      <c r="A27" s="1"/>
      <c r="B27" s="1"/>
      <c r="D27" s="4" t="s">
        <v>13</v>
      </c>
      <c r="E27" s="4" t="s">
        <v>46</v>
      </c>
      <c r="G27" s="10" t="s">
        <v>350</v>
      </c>
      <c r="H27" s="5" t="s">
        <v>57</v>
      </c>
      <c r="J27" s="26"/>
      <c r="K27" s="25" t="s">
        <v>43</v>
      </c>
      <c r="N27" s="4" t="s">
        <v>15</v>
      </c>
      <c r="V27" s="20" t="s">
        <v>71</v>
      </c>
      <c r="W27" s="25" t="s">
        <v>51</v>
      </c>
      <c r="Y27" s="10" t="s">
        <v>34</v>
      </c>
      <c r="Z27" s="48" t="s">
        <v>20</v>
      </c>
      <c r="AB27" s="106" t="s">
        <v>220</v>
      </c>
      <c r="AC27" s="107"/>
      <c r="AH27" s="4" t="s">
        <v>313</v>
      </c>
      <c r="AK27" s="4" t="s">
        <v>231</v>
      </c>
      <c r="AN27" s="4" t="s">
        <v>87</v>
      </c>
      <c r="AO27" s="4" t="s">
        <v>72</v>
      </c>
      <c r="AT27" s="4" t="s">
        <v>458</v>
      </c>
      <c r="AU27" s="4" t="s">
        <v>377</v>
      </c>
      <c r="AW27" s="2" t="s">
        <v>1</v>
      </c>
      <c r="AX27" s="3" t="s">
        <v>2</v>
      </c>
      <c r="AZ27" s="4" t="s">
        <v>231</v>
      </c>
      <c r="BF27" s="106" t="s">
        <v>522</v>
      </c>
      <c r="BG27" s="107"/>
      <c r="BI27" s="2" t="s">
        <v>1</v>
      </c>
      <c r="BJ27" s="3" t="s">
        <v>2</v>
      </c>
      <c r="BL27" s="10" t="s">
        <v>458</v>
      </c>
      <c r="BM27" s="6" t="s">
        <v>270</v>
      </c>
      <c r="BO27" s="108" t="s">
        <v>553</v>
      </c>
      <c r="BP27" s="108"/>
      <c r="BR27" s="106" t="s">
        <v>568</v>
      </c>
      <c r="BS27" s="107"/>
      <c r="BU27" s="4" t="s">
        <v>389</v>
      </c>
      <c r="BX27" s="3" t="s">
        <v>1</v>
      </c>
      <c r="BY27" s="2" t="s">
        <v>2</v>
      </c>
      <c r="CD27" s="4" t="s">
        <v>231</v>
      </c>
      <c r="CE27" s="4" t="s">
        <v>377</v>
      </c>
      <c r="CG27" s="106" t="s">
        <v>633</v>
      </c>
      <c r="CH27" s="107"/>
      <c r="CK27" s="24" t="s">
        <v>22</v>
      </c>
      <c r="CM27" s="4" t="s">
        <v>231</v>
      </c>
      <c r="CN27" s="6" t="s">
        <v>274</v>
      </c>
      <c r="CQ27" s="6" t="s">
        <v>12</v>
      </c>
      <c r="CT27" s="6" t="s">
        <v>396</v>
      </c>
      <c r="CV27" s="4" t="s">
        <v>13</v>
      </c>
      <c r="CZ27" s="6" t="s">
        <v>645</v>
      </c>
      <c r="DB27" s="4" t="s">
        <v>231</v>
      </c>
      <c r="DE27" t="s">
        <v>13</v>
      </c>
      <c r="DF27" s="115" t="s">
        <v>733</v>
      </c>
    </row>
    <row r="28" spans="1:110" x14ac:dyDescent="0.35">
      <c r="A28" s="111" t="s">
        <v>8</v>
      </c>
      <c r="B28" s="111"/>
      <c r="J28" s="26"/>
      <c r="K28" s="18" t="s">
        <v>43</v>
      </c>
      <c r="N28" s="4" t="s">
        <v>15</v>
      </c>
      <c r="P28" s="106" t="s">
        <v>151</v>
      </c>
      <c r="Q28" s="107"/>
      <c r="S28" s="106" t="s">
        <v>160</v>
      </c>
      <c r="T28" s="107"/>
      <c r="V28" s="20" t="s">
        <v>72</v>
      </c>
      <c r="W28" s="5" t="s">
        <v>351</v>
      </c>
      <c r="Y28" s="19" t="s">
        <v>11</v>
      </c>
      <c r="AB28" s="11" t="s">
        <v>1</v>
      </c>
      <c r="AC28" s="3" t="s">
        <v>2</v>
      </c>
      <c r="AE28" s="106" t="s">
        <v>238</v>
      </c>
      <c r="AF28" s="107"/>
      <c r="AK28" s="4" t="s">
        <v>39</v>
      </c>
      <c r="AN28" s="6" t="s">
        <v>349</v>
      </c>
      <c r="AO28" s="4" t="s">
        <v>72</v>
      </c>
      <c r="AQ28" s="106" t="s">
        <v>385</v>
      </c>
      <c r="AR28" s="107"/>
      <c r="AT28" s="4" t="s">
        <v>231</v>
      </c>
      <c r="AU28" s="4" t="s">
        <v>377</v>
      </c>
      <c r="AW28" s="4" t="s">
        <v>231</v>
      </c>
      <c r="AX28" s="4" t="s">
        <v>72</v>
      </c>
      <c r="AZ28" s="6" t="s">
        <v>268</v>
      </c>
      <c r="BC28" s="106" t="s">
        <v>509</v>
      </c>
      <c r="BD28" s="107"/>
      <c r="BF28" s="2" t="s">
        <v>1</v>
      </c>
      <c r="BG28" s="3" t="s">
        <v>2</v>
      </c>
      <c r="BI28" s="19" t="s">
        <v>10</v>
      </c>
      <c r="BJ28" s="19" t="s">
        <v>20</v>
      </c>
      <c r="BL28" s="4" t="s">
        <v>389</v>
      </c>
      <c r="BR28" s="2" t="s">
        <v>1</v>
      </c>
      <c r="BS28" s="3" t="s">
        <v>2</v>
      </c>
      <c r="BU28" s="4" t="s">
        <v>458</v>
      </c>
      <c r="BX28" s="6" t="s">
        <v>482</v>
      </c>
      <c r="BY28" s="10" t="s">
        <v>200</v>
      </c>
      <c r="CA28" s="106" t="s">
        <v>606</v>
      </c>
      <c r="CB28" s="107"/>
      <c r="CD28" s="4" t="s">
        <v>231</v>
      </c>
      <c r="CE28" s="6" t="s">
        <v>589</v>
      </c>
      <c r="CG28" s="2" t="s">
        <v>1</v>
      </c>
      <c r="CH28" s="3" t="s">
        <v>2</v>
      </c>
      <c r="CJ28" s="108" t="s">
        <v>339</v>
      </c>
      <c r="CK28" s="108"/>
      <c r="CM28" s="4" t="s">
        <v>389</v>
      </c>
      <c r="CQ28" s="4" t="s">
        <v>233</v>
      </c>
      <c r="DB28" s="4" t="s">
        <v>13</v>
      </c>
      <c r="DE28" t="s">
        <v>13</v>
      </c>
      <c r="DF28" s="115" t="s">
        <v>734</v>
      </c>
    </row>
    <row r="29" spans="1:110" x14ac:dyDescent="0.35">
      <c r="A29" s="2" t="s">
        <v>1</v>
      </c>
      <c r="B29" s="3" t="s">
        <v>2</v>
      </c>
      <c r="D29" s="106" t="s">
        <v>53</v>
      </c>
      <c r="E29" s="107"/>
      <c r="G29" s="106" t="s">
        <v>67</v>
      </c>
      <c r="H29" s="107"/>
      <c r="J29" s="26"/>
      <c r="K29" s="25" t="s">
        <v>22</v>
      </c>
      <c r="P29" s="2" t="s">
        <v>1</v>
      </c>
      <c r="Q29" s="3" t="s">
        <v>2</v>
      </c>
      <c r="S29" s="2" t="s">
        <v>1</v>
      </c>
      <c r="T29" s="3" t="s">
        <v>2</v>
      </c>
      <c r="V29" s="43" t="s">
        <v>63</v>
      </c>
      <c r="W29" s="5" t="s">
        <v>51</v>
      </c>
      <c r="Y29" s="10" t="s">
        <v>13</v>
      </c>
      <c r="AB29" s="19" t="s">
        <v>48</v>
      </c>
      <c r="AE29" s="11" t="s">
        <v>1</v>
      </c>
      <c r="AF29" s="3" t="s">
        <v>2</v>
      </c>
      <c r="AH29" s="106" t="s">
        <v>314</v>
      </c>
      <c r="AI29" s="107"/>
      <c r="AN29" s="4" t="s">
        <v>12</v>
      </c>
      <c r="AO29" s="4" t="s">
        <v>233</v>
      </c>
      <c r="AQ29" s="3" t="s">
        <v>1</v>
      </c>
      <c r="AR29" s="2" t="s">
        <v>2</v>
      </c>
      <c r="AU29" s="4" t="s">
        <v>377</v>
      </c>
      <c r="AW29" s="4" t="s">
        <v>10</v>
      </c>
      <c r="AX29" s="4" t="s">
        <v>20</v>
      </c>
      <c r="AZ29" s="4" t="s">
        <v>13</v>
      </c>
      <c r="BC29" s="2" t="s">
        <v>1</v>
      </c>
      <c r="BD29" s="3" t="s">
        <v>2</v>
      </c>
      <c r="BF29" s="4" t="s">
        <v>231</v>
      </c>
      <c r="BG29" s="4" t="s">
        <v>275</v>
      </c>
      <c r="BI29" s="19" t="s">
        <v>458</v>
      </c>
      <c r="BJ29" s="19" t="s">
        <v>478</v>
      </c>
      <c r="BO29" s="106" t="s">
        <v>555</v>
      </c>
      <c r="BP29" s="107"/>
      <c r="BR29" s="19" t="s">
        <v>231</v>
      </c>
      <c r="BS29" s="53" t="s">
        <v>377</v>
      </c>
      <c r="BU29" s="4" t="s">
        <v>561</v>
      </c>
      <c r="BX29" s="102" t="s">
        <v>201</v>
      </c>
      <c r="CA29" s="3" t="s">
        <v>1</v>
      </c>
      <c r="CB29" s="2" t="s">
        <v>2</v>
      </c>
      <c r="CD29" s="4" t="s">
        <v>13</v>
      </c>
      <c r="CG29" s="4" t="s">
        <v>458</v>
      </c>
      <c r="CH29" s="4" t="s">
        <v>396</v>
      </c>
      <c r="CM29" s="4" t="s">
        <v>231</v>
      </c>
      <c r="CQ29" s="6" t="s">
        <v>305</v>
      </c>
      <c r="CS29" s="106" t="s">
        <v>688</v>
      </c>
      <c r="CT29" s="107"/>
      <c r="CV29" s="106" t="s">
        <v>701</v>
      </c>
      <c r="CW29" s="107"/>
      <c r="CY29" s="106" t="s">
        <v>712</v>
      </c>
      <c r="CZ29" s="107"/>
      <c r="DB29" s="4" t="s">
        <v>389</v>
      </c>
      <c r="DF29" t="s">
        <v>732</v>
      </c>
    </row>
    <row r="30" spans="1:110" x14ac:dyDescent="0.35">
      <c r="A30" s="4" t="s">
        <v>10</v>
      </c>
      <c r="B30" s="6" t="s">
        <v>21</v>
      </c>
      <c r="D30" s="2" t="s">
        <v>1</v>
      </c>
      <c r="E30" s="3" t="s">
        <v>2</v>
      </c>
      <c r="G30" s="2" t="s">
        <v>1</v>
      </c>
      <c r="H30" s="3" t="s">
        <v>2</v>
      </c>
      <c r="J30" s="26"/>
      <c r="K30" s="18" t="s">
        <v>22</v>
      </c>
      <c r="M30" s="106" t="s">
        <v>136</v>
      </c>
      <c r="N30" s="107"/>
      <c r="P30" s="39" t="s">
        <v>350</v>
      </c>
      <c r="Q30" s="6" t="s">
        <v>20</v>
      </c>
      <c r="S30" s="4" t="s">
        <v>13</v>
      </c>
      <c r="T30" s="6" t="s">
        <v>51</v>
      </c>
      <c r="Y30" s="19" t="s">
        <v>350</v>
      </c>
      <c r="AB30" s="10" t="s">
        <v>69</v>
      </c>
      <c r="AE30" s="19" t="s">
        <v>69</v>
      </c>
      <c r="AH30" s="2" t="s">
        <v>1</v>
      </c>
      <c r="AI30" s="3" t="s">
        <v>2</v>
      </c>
      <c r="AK30" s="106" t="s">
        <v>325</v>
      </c>
      <c r="AL30" s="107"/>
      <c r="AQ30" s="4" t="s">
        <v>231</v>
      </c>
      <c r="AR30" s="36" t="s">
        <v>72</v>
      </c>
      <c r="AW30" s="4" t="s">
        <v>231</v>
      </c>
      <c r="AX30" s="6" t="s">
        <v>473</v>
      </c>
      <c r="BC30" s="4" t="s">
        <v>13</v>
      </c>
      <c r="BD30" s="19" t="s">
        <v>72</v>
      </c>
      <c r="BF30" s="4" t="s">
        <v>231</v>
      </c>
      <c r="BG30" s="4" t="s">
        <v>305</v>
      </c>
      <c r="BI30" s="19" t="s">
        <v>231</v>
      </c>
      <c r="BJ30" s="25" t="s">
        <v>88</v>
      </c>
      <c r="BL30" s="106" t="s">
        <v>544</v>
      </c>
      <c r="BM30" s="107"/>
      <c r="BO30" s="3" t="s">
        <v>1</v>
      </c>
      <c r="BP30" s="2" t="s">
        <v>2</v>
      </c>
      <c r="BR30" s="4" t="s">
        <v>458</v>
      </c>
      <c r="BU30" s="16" t="s">
        <v>233</v>
      </c>
      <c r="BX30" s="108" t="s">
        <v>594</v>
      </c>
      <c r="BY30" s="108"/>
      <c r="CA30" s="6" t="s">
        <v>376</v>
      </c>
      <c r="CB30" s="4" t="s">
        <v>377</v>
      </c>
      <c r="CD30" s="4" t="s">
        <v>389</v>
      </c>
      <c r="CG30" s="4" t="s">
        <v>458</v>
      </c>
      <c r="CJ30" s="106" t="s">
        <v>642</v>
      </c>
      <c r="CK30" s="107"/>
      <c r="CS30" s="3" t="s">
        <v>1</v>
      </c>
      <c r="CT30" s="2" t="s">
        <v>2</v>
      </c>
      <c r="CV30" s="2" t="s">
        <v>1</v>
      </c>
      <c r="CW30" s="3" t="s">
        <v>2</v>
      </c>
      <c r="CY30" s="2" t="s">
        <v>1</v>
      </c>
      <c r="CZ30" s="3" t="s">
        <v>2</v>
      </c>
      <c r="DF30" s="115" t="s">
        <v>735</v>
      </c>
    </row>
    <row r="31" spans="1:110" x14ac:dyDescent="0.35">
      <c r="A31" s="10" t="s">
        <v>10</v>
      </c>
      <c r="B31" s="6" t="s">
        <v>23</v>
      </c>
      <c r="D31" s="16" t="s">
        <v>20</v>
      </c>
      <c r="E31" s="6" t="s">
        <v>17</v>
      </c>
      <c r="G31" s="10" t="s">
        <v>13</v>
      </c>
      <c r="H31" s="25" t="s">
        <v>15</v>
      </c>
      <c r="J31" s="26"/>
      <c r="K31" s="25" t="s">
        <v>51</v>
      </c>
      <c r="M31" s="37" t="s">
        <v>1</v>
      </c>
      <c r="N31" s="2" t="s">
        <v>2</v>
      </c>
      <c r="P31" s="39" t="s">
        <v>69</v>
      </c>
      <c r="Q31" s="25" t="s">
        <v>15</v>
      </c>
      <c r="S31" s="10" t="s">
        <v>13</v>
      </c>
      <c r="T31" s="6" t="s">
        <v>15</v>
      </c>
      <c r="V31" s="106" t="s">
        <v>179</v>
      </c>
      <c r="W31" s="107"/>
      <c r="Y31" s="19" t="s">
        <v>11</v>
      </c>
      <c r="AE31" s="16" t="s">
        <v>12</v>
      </c>
      <c r="AF31" s="26"/>
      <c r="AH31" s="53" t="s">
        <v>231</v>
      </c>
      <c r="AI31" s="33" t="s">
        <v>315</v>
      </c>
      <c r="AK31" s="2" t="s">
        <v>1</v>
      </c>
      <c r="AL31" s="3" t="s">
        <v>2</v>
      </c>
      <c r="AN31" s="106" t="s">
        <v>343</v>
      </c>
      <c r="AO31" s="107"/>
      <c r="AQ31" s="6" t="s">
        <v>12</v>
      </c>
      <c r="AR31" s="5" t="s">
        <v>315</v>
      </c>
      <c r="AT31" s="106" t="s">
        <v>460</v>
      </c>
      <c r="AU31" s="107"/>
      <c r="AW31" s="4" t="s">
        <v>231</v>
      </c>
      <c r="AX31" s="4" t="s">
        <v>72</v>
      </c>
      <c r="AZ31" s="106" t="s">
        <v>495</v>
      </c>
      <c r="BA31" s="107"/>
      <c r="BC31" s="4" t="s">
        <v>13</v>
      </c>
      <c r="BD31" s="10" t="s">
        <v>396</v>
      </c>
      <c r="BF31" s="108" t="s">
        <v>523</v>
      </c>
      <c r="BG31" s="108"/>
      <c r="BI31" s="19" t="s">
        <v>228</v>
      </c>
      <c r="BJ31" s="25" t="s">
        <v>377</v>
      </c>
      <c r="BL31" s="2" t="s">
        <v>1</v>
      </c>
      <c r="BM31" s="3" t="s">
        <v>2</v>
      </c>
      <c r="BO31" s="19" t="s">
        <v>13</v>
      </c>
      <c r="BP31" s="19" t="s">
        <v>377</v>
      </c>
      <c r="BR31" s="6" t="s">
        <v>13</v>
      </c>
      <c r="BU31" s="16" t="s">
        <v>270</v>
      </c>
      <c r="CJ31" s="2" t="s">
        <v>1</v>
      </c>
      <c r="CK31" s="3" t="s">
        <v>2</v>
      </c>
      <c r="CM31" s="106" t="s">
        <v>665</v>
      </c>
      <c r="CN31" s="107"/>
      <c r="CP31" s="106" t="s">
        <v>675</v>
      </c>
      <c r="CQ31" s="107"/>
      <c r="CS31" s="4" t="s">
        <v>231</v>
      </c>
      <c r="CT31" s="4" t="s">
        <v>20</v>
      </c>
      <c r="CV31" s="4" t="s">
        <v>629</v>
      </c>
      <c r="CW31" s="4" t="s">
        <v>698</v>
      </c>
      <c r="CY31" s="4" t="s">
        <v>231</v>
      </c>
      <c r="CZ31" s="6" t="s">
        <v>683</v>
      </c>
      <c r="DB31" s="106" t="s">
        <v>723</v>
      </c>
      <c r="DC31" s="107"/>
      <c r="DF31" s="115" t="s">
        <v>736</v>
      </c>
    </row>
    <row r="32" spans="1:110" x14ac:dyDescent="0.35">
      <c r="A32" s="4" t="s">
        <v>14</v>
      </c>
      <c r="D32" s="4" t="s">
        <v>48</v>
      </c>
      <c r="E32" s="10" t="s">
        <v>15</v>
      </c>
      <c r="G32" s="10" t="s">
        <v>48</v>
      </c>
      <c r="H32" s="18" t="s">
        <v>22</v>
      </c>
      <c r="M32" s="4" t="s">
        <v>350</v>
      </c>
      <c r="N32" s="4" t="s">
        <v>15</v>
      </c>
      <c r="P32" s="4" t="s">
        <v>48</v>
      </c>
      <c r="Q32" s="6" t="s">
        <v>85</v>
      </c>
      <c r="S32" s="4" t="s">
        <v>11</v>
      </c>
      <c r="T32" s="5" t="s">
        <v>351</v>
      </c>
      <c r="V32" s="11" t="s">
        <v>1</v>
      </c>
      <c r="W32" s="3" t="s">
        <v>2</v>
      </c>
      <c r="Y32" s="16" t="s">
        <v>31</v>
      </c>
      <c r="AB32" s="106" t="s">
        <v>221</v>
      </c>
      <c r="AC32" s="107"/>
      <c r="AH32" s="4" t="s">
        <v>231</v>
      </c>
      <c r="AK32" s="19" t="s">
        <v>231</v>
      </c>
      <c r="AL32" s="48" t="s">
        <v>326</v>
      </c>
      <c r="AN32" s="2" t="s">
        <v>1</v>
      </c>
      <c r="AO32" s="3" t="s">
        <v>2</v>
      </c>
      <c r="AQ32" s="4" t="s">
        <v>231</v>
      </c>
      <c r="AR32" s="51" t="s">
        <v>386</v>
      </c>
      <c r="AT32" s="2" t="s">
        <v>1</v>
      </c>
      <c r="AU32" s="3" t="s">
        <v>2</v>
      </c>
      <c r="AW32" s="6" t="s">
        <v>376</v>
      </c>
      <c r="AX32" s="6" t="s">
        <v>275</v>
      </c>
      <c r="AZ32" s="2" t="s">
        <v>1</v>
      </c>
      <c r="BA32" s="3" t="s">
        <v>2</v>
      </c>
      <c r="BL32" s="19" t="s">
        <v>10</v>
      </c>
      <c r="BM32" s="19" t="s">
        <v>377</v>
      </c>
      <c r="BO32" s="4" t="s">
        <v>458</v>
      </c>
      <c r="BP32" s="6" t="s">
        <v>377</v>
      </c>
      <c r="BR32" s="4" t="s">
        <v>231</v>
      </c>
      <c r="BX32" s="106" t="s">
        <v>595</v>
      </c>
      <c r="BY32" s="107"/>
      <c r="CA32" s="106" t="s">
        <v>607</v>
      </c>
      <c r="CB32" s="107"/>
      <c r="CD32" s="106" t="s">
        <v>619</v>
      </c>
      <c r="CE32" s="107"/>
      <c r="CG32" s="106" t="s">
        <v>634</v>
      </c>
      <c r="CH32" s="107"/>
      <c r="CJ32" s="4" t="s">
        <v>643</v>
      </c>
      <c r="CK32" s="6" t="s">
        <v>377</v>
      </c>
      <c r="CM32" s="2" t="s">
        <v>1</v>
      </c>
      <c r="CN32" s="3" t="s">
        <v>2</v>
      </c>
      <c r="CP32" s="2" t="s">
        <v>1</v>
      </c>
      <c r="CQ32" s="3" t="s">
        <v>2</v>
      </c>
      <c r="CT32" s="4" t="s">
        <v>587</v>
      </c>
      <c r="CV32" s="4" t="s">
        <v>231</v>
      </c>
      <c r="CW32" s="5" t="s">
        <v>702</v>
      </c>
      <c r="CY32" s="4" t="s">
        <v>389</v>
      </c>
      <c r="CZ32" s="4" t="s">
        <v>305</v>
      </c>
      <c r="DB32" s="2" t="s">
        <v>1</v>
      </c>
      <c r="DC32" s="3" t="s">
        <v>2</v>
      </c>
    </row>
    <row r="33" spans="1:107" x14ac:dyDescent="0.35">
      <c r="D33" s="4" t="s">
        <v>48</v>
      </c>
      <c r="G33" s="19" t="s">
        <v>48</v>
      </c>
      <c r="H33" s="25" t="s">
        <v>17</v>
      </c>
      <c r="J33" s="106" t="s">
        <v>95</v>
      </c>
      <c r="K33" s="107"/>
      <c r="M33" s="6" t="s">
        <v>350</v>
      </c>
      <c r="N33" s="6" t="s">
        <v>51</v>
      </c>
      <c r="P33" s="21" t="s">
        <v>48</v>
      </c>
      <c r="Q33" s="6" t="s">
        <v>88</v>
      </c>
      <c r="S33" s="4" t="s">
        <v>71</v>
      </c>
      <c r="T33" s="6" t="s">
        <v>51</v>
      </c>
      <c r="V33" s="21" t="s">
        <v>48</v>
      </c>
      <c r="W33" s="5" t="s">
        <v>22</v>
      </c>
      <c r="AB33" s="11" t="s">
        <v>1</v>
      </c>
      <c r="AC33" s="3" t="s">
        <v>2</v>
      </c>
      <c r="AE33" s="106" t="s">
        <v>239</v>
      </c>
      <c r="AF33" s="107"/>
      <c r="AH33" s="4" t="s">
        <v>231</v>
      </c>
      <c r="AK33" s="4" t="s">
        <v>10</v>
      </c>
      <c r="AL33" s="48" t="s">
        <v>20</v>
      </c>
      <c r="AN33" s="4" t="s">
        <v>13</v>
      </c>
      <c r="AO33" s="51" t="s">
        <v>305</v>
      </c>
      <c r="AQ33" s="4" t="s">
        <v>231</v>
      </c>
      <c r="AT33" s="4" t="s">
        <v>13</v>
      </c>
      <c r="AU33" s="48" t="s">
        <v>396</v>
      </c>
      <c r="AW33" s="4" t="s">
        <v>231</v>
      </c>
      <c r="AX33" s="4" t="s">
        <v>305</v>
      </c>
      <c r="AZ33" s="4" t="s">
        <v>389</v>
      </c>
      <c r="BA33" s="51" t="s">
        <v>396</v>
      </c>
      <c r="BC33" s="106" t="s">
        <v>510</v>
      </c>
      <c r="BD33" s="107"/>
      <c r="BF33" s="106" t="s">
        <v>524</v>
      </c>
      <c r="BG33" s="107"/>
      <c r="BI33" s="106" t="s">
        <v>535</v>
      </c>
      <c r="BJ33" s="107"/>
      <c r="BL33" s="19" t="s">
        <v>69</v>
      </c>
      <c r="BM33" s="19" t="s">
        <v>377</v>
      </c>
      <c r="BO33" s="4" t="s">
        <v>13</v>
      </c>
      <c r="BP33" s="5" t="s">
        <v>315</v>
      </c>
      <c r="BU33" s="106" t="s">
        <v>579</v>
      </c>
      <c r="BV33" s="107"/>
      <c r="BX33" s="2" t="s">
        <v>1</v>
      </c>
      <c r="BY33" s="3" t="s">
        <v>2</v>
      </c>
      <c r="CA33" s="2" t="s">
        <v>1</v>
      </c>
      <c r="CB33" s="3" t="s">
        <v>2</v>
      </c>
      <c r="CD33" s="2" t="s">
        <v>1</v>
      </c>
      <c r="CE33" s="3" t="s">
        <v>2</v>
      </c>
      <c r="CG33" s="2" t="s">
        <v>1</v>
      </c>
      <c r="CH33" s="3" t="s">
        <v>2</v>
      </c>
      <c r="CJ33" s="4" t="s">
        <v>398</v>
      </c>
      <c r="CK33" s="6" t="s">
        <v>233</v>
      </c>
      <c r="CM33" s="4" t="s">
        <v>231</v>
      </c>
      <c r="CN33" s="4" t="s">
        <v>396</v>
      </c>
      <c r="CP33" s="4" t="s">
        <v>482</v>
      </c>
      <c r="CQ33" s="6" t="s">
        <v>305</v>
      </c>
      <c r="CV33" s="4" t="s">
        <v>13</v>
      </c>
      <c r="CW33" s="6" t="s">
        <v>315</v>
      </c>
      <c r="CY33" s="4" t="s">
        <v>231</v>
      </c>
      <c r="CZ33" s="6" t="s">
        <v>508</v>
      </c>
      <c r="DB33" s="4" t="s">
        <v>231</v>
      </c>
      <c r="DC33" s="6" t="s">
        <v>683</v>
      </c>
    </row>
    <row r="34" spans="1:107" x14ac:dyDescent="0.35">
      <c r="A34" s="111" t="s">
        <v>26</v>
      </c>
      <c r="B34" s="111"/>
      <c r="D34" s="6" t="s">
        <v>50</v>
      </c>
      <c r="G34" s="26"/>
      <c r="H34" s="25" t="s">
        <v>52</v>
      </c>
      <c r="J34" s="2" t="s">
        <v>1</v>
      </c>
      <c r="K34" s="3" t="s">
        <v>2</v>
      </c>
      <c r="M34" s="4" t="s">
        <v>13</v>
      </c>
      <c r="N34" s="4" t="s">
        <v>43</v>
      </c>
      <c r="P34" s="17" t="s">
        <v>34</v>
      </c>
      <c r="Q34" s="6" t="s">
        <v>21</v>
      </c>
      <c r="S34" s="10" t="s">
        <v>34</v>
      </c>
      <c r="T34" s="5" t="s">
        <v>51</v>
      </c>
      <c r="V34" s="21" t="s">
        <v>13</v>
      </c>
      <c r="W34" s="25" t="s">
        <v>61</v>
      </c>
      <c r="Y34" s="106" t="s">
        <v>198</v>
      </c>
      <c r="Z34" s="107"/>
      <c r="AB34" s="19" t="s">
        <v>48</v>
      </c>
      <c r="AC34" s="10" t="s">
        <v>15</v>
      </c>
      <c r="AE34" s="11" t="s">
        <v>1</v>
      </c>
      <c r="AF34" s="3" t="s">
        <v>2</v>
      </c>
      <c r="AK34" s="6" t="s">
        <v>145</v>
      </c>
      <c r="AL34" s="48" t="s">
        <v>233</v>
      </c>
      <c r="AN34" s="4" t="s">
        <v>13</v>
      </c>
      <c r="AO34" s="51" t="s">
        <v>305</v>
      </c>
      <c r="AQ34" s="4" t="s">
        <v>12</v>
      </c>
      <c r="AT34" s="4" t="s">
        <v>458</v>
      </c>
      <c r="AU34" s="48" t="s">
        <v>233</v>
      </c>
      <c r="AW34" s="4" t="s">
        <v>10</v>
      </c>
      <c r="AX34" s="6" t="s">
        <v>275</v>
      </c>
      <c r="AZ34" s="4" t="s">
        <v>458</v>
      </c>
      <c r="BC34" s="3" t="s">
        <v>1</v>
      </c>
      <c r="BD34" s="2" t="s">
        <v>2</v>
      </c>
      <c r="BF34" s="3" t="s">
        <v>1</v>
      </c>
      <c r="BG34" s="2" t="s">
        <v>2</v>
      </c>
      <c r="BI34" s="2" t="s">
        <v>1</v>
      </c>
      <c r="BJ34" s="3" t="s">
        <v>2</v>
      </c>
      <c r="BL34" s="4" t="s">
        <v>10</v>
      </c>
      <c r="BM34" s="4" t="s">
        <v>377</v>
      </c>
      <c r="BP34" s="6" t="s">
        <v>478</v>
      </c>
      <c r="BR34" s="106" t="s">
        <v>569</v>
      </c>
      <c r="BS34" s="107"/>
      <c r="BU34" s="3" t="s">
        <v>1</v>
      </c>
      <c r="BV34" s="2" t="s">
        <v>2</v>
      </c>
      <c r="BX34" s="10" t="s">
        <v>13</v>
      </c>
      <c r="CA34" s="4" t="s">
        <v>458</v>
      </c>
      <c r="CB34" s="5" t="s">
        <v>377</v>
      </c>
      <c r="CD34" s="4" t="s">
        <v>13</v>
      </c>
      <c r="CE34" s="6" t="s">
        <v>233</v>
      </c>
      <c r="CG34" s="4" t="s">
        <v>458</v>
      </c>
      <c r="CH34" s="4" t="s">
        <v>589</v>
      </c>
      <c r="CJ34" s="4" t="s">
        <v>643</v>
      </c>
      <c r="CK34" s="4" t="s">
        <v>377</v>
      </c>
      <c r="CM34" s="4" t="s">
        <v>231</v>
      </c>
      <c r="CN34" s="6" t="s">
        <v>478</v>
      </c>
      <c r="CP34" s="4" t="s">
        <v>643</v>
      </c>
      <c r="CQ34" s="4" t="s">
        <v>305</v>
      </c>
      <c r="CS34" s="106" t="s">
        <v>689</v>
      </c>
      <c r="CT34" s="107"/>
      <c r="CV34" s="4" t="s">
        <v>231</v>
      </c>
      <c r="CW34" s="5" t="s">
        <v>645</v>
      </c>
      <c r="CY34" s="4" t="s">
        <v>231</v>
      </c>
      <c r="DB34" s="6" t="s">
        <v>482</v>
      </c>
      <c r="DC34" s="5" t="s">
        <v>315</v>
      </c>
    </row>
    <row r="35" spans="1:107" x14ac:dyDescent="0.35">
      <c r="A35" s="3" t="s">
        <v>1</v>
      </c>
      <c r="B35" s="2" t="s">
        <v>2</v>
      </c>
      <c r="G35" s="26"/>
      <c r="H35" s="26"/>
      <c r="J35" s="19" t="s">
        <v>87</v>
      </c>
      <c r="K35" s="25" t="s">
        <v>21</v>
      </c>
      <c r="M35" s="4"/>
      <c r="N35" s="24" t="s">
        <v>43</v>
      </c>
      <c r="Q35" s="4" t="s">
        <v>21</v>
      </c>
      <c r="S35" s="4" t="s">
        <v>39</v>
      </c>
      <c r="V35" s="20" t="s">
        <v>34</v>
      </c>
      <c r="W35" s="6" t="s">
        <v>64</v>
      </c>
      <c r="Y35" s="11" t="s">
        <v>1</v>
      </c>
      <c r="Z35" s="3" t="s">
        <v>2</v>
      </c>
      <c r="AB35" s="25" t="s">
        <v>87</v>
      </c>
      <c r="AE35" s="19" t="s">
        <v>231</v>
      </c>
      <c r="AF35" s="10" t="s">
        <v>20</v>
      </c>
      <c r="AH35" s="106" t="s">
        <v>316</v>
      </c>
      <c r="AI35" s="107"/>
      <c r="AK35" s="4" t="s">
        <v>352</v>
      </c>
      <c r="AN35" s="4" t="s">
        <v>231</v>
      </c>
      <c r="AT35" s="4" t="s">
        <v>10</v>
      </c>
      <c r="AU35" s="48" t="s">
        <v>396</v>
      </c>
      <c r="AW35" s="4" t="s">
        <v>87</v>
      </c>
      <c r="AX35" s="5" t="s">
        <v>275</v>
      </c>
      <c r="BC35" s="4" t="s">
        <v>231</v>
      </c>
      <c r="BD35" s="19" t="s">
        <v>466</v>
      </c>
      <c r="BF35" s="4" t="s">
        <v>231</v>
      </c>
      <c r="BG35" s="4" t="s">
        <v>305</v>
      </c>
      <c r="BI35" s="19" t="s">
        <v>231</v>
      </c>
      <c r="BJ35" s="19" t="s">
        <v>22</v>
      </c>
      <c r="BL35" s="4" t="s">
        <v>13</v>
      </c>
      <c r="BP35" s="4" t="s">
        <v>305</v>
      </c>
      <c r="BR35" s="2" t="s">
        <v>1</v>
      </c>
      <c r="BS35" s="3" t="s">
        <v>2</v>
      </c>
      <c r="BU35" s="19" t="s">
        <v>231</v>
      </c>
      <c r="BV35" s="53" t="s">
        <v>377</v>
      </c>
      <c r="BX35" s="4" t="s">
        <v>10</v>
      </c>
      <c r="CA35" s="4" t="s">
        <v>482</v>
      </c>
      <c r="CB35" s="4" t="s">
        <v>22</v>
      </c>
      <c r="CD35" s="4" t="s">
        <v>231</v>
      </c>
      <c r="CE35" s="5" t="s">
        <v>10</v>
      </c>
      <c r="CG35" s="4" t="s">
        <v>229</v>
      </c>
      <c r="CH35" s="5" t="s">
        <v>589</v>
      </c>
      <c r="CJ35" s="4" t="s">
        <v>13</v>
      </c>
      <c r="CK35" s="4" t="s">
        <v>305</v>
      </c>
      <c r="CM35" s="4" t="s">
        <v>389</v>
      </c>
      <c r="CN35" s="4" t="s">
        <v>22</v>
      </c>
      <c r="CP35" s="4" t="s">
        <v>398</v>
      </c>
      <c r="CQ35" s="4" t="s">
        <v>10</v>
      </c>
      <c r="CS35" s="2" t="s">
        <v>1</v>
      </c>
      <c r="CT35" s="3" t="s">
        <v>2</v>
      </c>
      <c r="CV35" s="4" t="s">
        <v>389</v>
      </c>
      <c r="CW35" s="6" t="s">
        <v>487</v>
      </c>
      <c r="CY35" s="6" t="s">
        <v>69</v>
      </c>
    </row>
    <row r="36" spans="1:107" x14ac:dyDescent="0.35">
      <c r="B36" s="4" t="s">
        <v>22</v>
      </c>
      <c r="D36" s="106" t="s">
        <v>54</v>
      </c>
      <c r="E36" s="107"/>
      <c r="G36" s="106" t="s">
        <v>68</v>
      </c>
      <c r="H36" s="107"/>
      <c r="J36" s="19" t="s">
        <v>71</v>
      </c>
      <c r="K36" s="25" t="s">
        <v>64</v>
      </c>
      <c r="M36" s="108" t="s">
        <v>137</v>
      </c>
      <c r="N36" s="108"/>
      <c r="S36" s="10" t="s">
        <v>11</v>
      </c>
      <c r="V36" s="10" t="s">
        <v>11</v>
      </c>
      <c r="W36" s="6" t="s">
        <v>88</v>
      </c>
      <c r="Y36" s="19" t="s">
        <v>13</v>
      </c>
      <c r="Z36" s="33" t="s">
        <v>351</v>
      </c>
      <c r="AH36" s="2" t="s">
        <v>1</v>
      </c>
      <c r="AI36" s="3" t="s">
        <v>2</v>
      </c>
      <c r="AK36" s="10" t="s">
        <v>10</v>
      </c>
      <c r="AN36" s="4" t="s">
        <v>231</v>
      </c>
      <c r="AQ36" s="106" t="s">
        <v>387</v>
      </c>
      <c r="AR36" s="107"/>
      <c r="AT36" s="4" t="s">
        <v>458</v>
      </c>
      <c r="AU36" s="5" t="s">
        <v>396</v>
      </c>
      <c r="AW36" s="4" t="s">
        <v>231</v>
      </c>
      <c r="AZ36" s="106" t="s">
        <v>496</v>
      </c>
      <c r="BA36" s="107"/>
      <c r="BC36" s="4" t="s">
        <v>458</v>
      </c>
      <c r="BD36" s="19" t="s">
        <v>377</v>
      </c>
      <c r="BF36" s="6" t="s">
        <v>389</v>
      </c>
      <c r="BG36" s="4" t="s">
        <v>20</v>
      </c>
      <c r="BI36" s="19" t="s">
        <v>231</v>
      </c>
      <c r="BJ36" s="18" t="s">
        <v>487</v>
      </c>
      <c r="BL36" s="4" t="s">
        <v>87</v>
      </c>
      <c r="BP36" s="4" t="s">
        <v>377</v>
      </c>
      <c r="BR36" s="19" t="s">
        <v>231</v>
      </c>
      <c r="BS36" s="53" t="s">
        <v>377</v>
      </c>
      <c r="BV36" s="4" t="s">
        <v>478</v>
      </c>
      <c r="BX36" s="4" t="s">
        <v>231</v>
      </c>
      <c r="CA36" s="4" t="s">
        <v>13</v>
      </c>
      <c r="CE36" s="6" t="s">
        <v>233</v>
      </c>
      <c r="CG36" s="4" t="s">
        <v>231</v>
      </c>
      <c r="CM36" s="4" t="s">
        <v>458</v>
      </c>
      <c r="CN36" s="6" t="s">
        <v>233</v>
      </c>
      <c r="CQ36" s="6" t="s">
        <v>20</v>
      </c>
      <c r="CS36" s="4" t="s">
        <v>500</v>
      </c>
      <c r="CT36" s="6" t="s">
        <v>233</v>
      </c>
      <c r="CV36" s="16" t="s">
        <v>274</v>
      </c>
      <c r="CW36" s="6" t="s">
        <v>487</v>
      </c>
      <c r="CY36" s="10" t="s">
        <v>231</v>
      </c>
      <c r="DB36" s="106" t="s">
        <v>724</v>
      </c>
      <c r="DC36" s="107"/>
    </row>
    <row r="37" spans="1:107" x14ac:dyDescent="0.35">
      <c r="D37" s="2" t="s">
        <v>1</v>
      </c>
      <c r="E37" s="3" t="s">
        <v>2</v>
      </c>
      <c r="G37" s="3" t="s">
        <v>1</v>
      </c>
      <c r="H37" s="2" t="s">
        <v>2</v>
      </c>
      <c r="J37" s="19" t="s">
        <v>71</v>
      </c>
      <c r="K37" s="25" t="s">
        <v>31</v>
      </c>
      <c r="P37" s="106" t="s">
        <v>152</v>
      </c>
      <c r="Q37" s="107"/>
      <c r="V37" s="19" t="s">
        <v>10</v>
      </c>
      <c r="W37" s="6" t="s">
        <v>88</v>
      </c>
      <c r="Y37" s="10" t="s">
        <v>48</v>
      </c>
      <c r="Z37" s="35" t="s">
        <v>88</v>
      </c>
      <c r="AB37" s="106" t="s">
        <v>222</v>
      </c>
      <c r="AC37" s="107"/>
      <c r="AE37" s="106" t="s">
        <v>242</v>
      </c>
      <c r="AF37" s="107"/>
      <c r="AH37" s="16" t="s">
        <v>317</v>
      </c>
      <c r="AI37" s="51" t="s">
        <v>305</v>
      </c>
      <c r="AK37" s="4" t="s">
        <v>231</v>
      </c>
      <c r="AQ37" s="2" t="s">
        <v>1</v>
      </c>
      <c r="AR37" s="3" t="s">
        <v>2</v>
      </c>
      <c r="AT37" s="4" t="s">
        <v>10</v>
      </c>
      <c r="AZ37" s="2" t="s">
        <v>1</v>
      </c>
      <c r="BA37" s="3" t="s">
        <v>2</v>
      </c>
      <c r="BC37" s="10" t="s">
        <v>458</v>
      </c>
      <c r="BD37" s="4" t="s">
        <v>377</v>
      </c>
      <c r="BF37" s="10" t="s">
        <v>458</v>
      </c>
      <c r="BG37" s="4" t="s">
        <v>377</v>
      </c>
      <c r="BI37" s="19" t="s">
        <v>458</v>
      </c>
      <c r="BJ37" s="18" t="s">
        <v>12</v>
      </c>
      <c r="BL37" s="6" t="s">
        <v>482</v>
      </c>
      <c r="BP37" s="4" t="s">
        <v>396</v>
      </c>
      <c r="BR37" s="6" t="s">
        <v>376</v>
      </c>
      <c r="BS37" s="4" t="s">
        <v>377</v>
      </c>
      <c r="CA37" s="4" t="s">
        <v>231</v>
      </c>
      <c r="CE37" s="5" t="s">
        <v>233</v>
      </c>
      <c r="CJ37" s="106" t="s">
        <v>644</v>
      </c>
      <c r="CK37" s="107"/>
      <c r="CN37" s="6" t="s">
        <v>473</v>
      </c>
      <c r="CS37" s="4" t="s">
        <v>69</v>
      </c>
      <c r="CT37" s="6" t="s">
        <v>20</v>
      </c>
      <c r="CV37" s="10" t="s">
        <v>231</v>
      </c>
      <c r="CW37" s="5" t="s">
        <v>487</v>
      </c>
      <c r="DB37" s="2" t="s">
        <v>1</v>
      </c>
      <c r="DC37" s="3" t="s">
        <v>2</v>
      </c>
    </row>
    <row r="38" spans="1:107" x14ac:dyDescent="0.35">
      <c r="A38" s="106" t="s">
        <v>27</v>
      </c>
      <c r="B38" s="107"/>
      <c r="D38" s="19" t="s">
        <v>11</v>
      </c>
      <c r="E38" s="6" t="s">
        <v>51</v>
      </c>
      <c r="G38" s="25" t="s">
        <v>30</v>
      </c>
      <c r="H38" s="25" t="s">
        <v>20</v>
      </c>
      <c r="J38" s="26"/>
      <c r="K38" s="19" t="s">
        <v>15</v>
      </c>
      <c r="M38" s="106" t="s">
        <v>138</v>
      </c>
      <c r="N38" s="107"/>
      <c r="P38" s="3" t="s">
        <v>1</v>
      </c>
      <c r="Q38" s="2" t="s">
        <v>2</v>
      </c>
      <c r="S38" s="106" t="s">
        <v>161</v>
      </c>
      <c r="T38" s="107"/>
      <c r="V38" s="19" t="s">
        <v>10</v>
      </c>
      <c r="W38" s="5" t="s">
        <v>88</v>
      </c>
      <c r="Y38" s="4" t="s">
        <v>87</v>
      </c>
      <c r="AB38" s="3" t="s">
        <v>1</v>
      </c>
      <c r="AC38" s="2" t="s">
        <v>2</v>
      </c>
      <c r="AE38" s="11" t="s">
        <v>1</v>
      </c>
      <c r="AF38" s="3" t="s">
        <v>2</v>
      </c>
      <c r="AH38" s="6" t="s">
        <v>87</v>
      </c>
      <c r="AI38" s="6" t="s">
        <v>22</v>
      </c>
      <c r="AN38" s="106" t="s">
        <v>345</v>
      </c>
      <c r="AO38" s="107"/>
      <c r="AQ38" s="4" t="s">
        <v>12</v>
      </c>
      <c r="AR38" s="48" t="s">
        <v>305</v>
      </c>
      <c r="AT38" s="4" t="s">
        <v>231</v>
      </c>
      <c r="AW38" s="106" t="s">
        <v>475</v>
      </c>
      <c r="AX38" s="107"/>
      <c r="AZ38" s="4" t="s">
        <v>13</v>
      </c>
      <c r="BA38" s="51" t="s">
        <v>72</v>
      </c>
      <c r="BC38" s="4" t="s">
        <v>10</v>
      </c>
      <c r="BD38" s="5" t="s">
        <v>233</v>
      </c>
      <c r="BF38" s="18" t="s">
        <v>228</v>
      </c>
      <c r="BG38" s="4" t="s">
        <v>20</v>
      </c>
      <c r="BP38" s="6" t="s">
        <v>20</v>
      </c>
      <c r="BR38" s="4" t="s">
        <v>561</v>
      </c>
      <c r="BU38" s="106" t="s">
        <v>580</v>
      </c>
      <c r="BV38" s="107"/>
      <c r="BX38" s="106" t="s">
        <v>596</v>
      </c>
      <c r="BY38" s="107"/>
      <c r="CA38" s="4" t="s">
        <v>231</v>
      </c>
      <c r="CE38" s="6" t="s">
        <v>12</v>
      </c>
      <c r="CG38" s="106" t="s">
        <v>635</v>
      </c>
      <c r="CH38" s="107"/>
      <c r="CJ38" s="2" t="s">
        <v>1</v>
      </c>
      <c r="CK38" s="3" t="s">
        <v>2</v>
      </c>
      <c r="CN38" s="4" t="s">
        <v>396</v>
      </c>
      <c r="CP38" s="106" t="s">
        <v>676</v>
      </c>
      <c r="CQ38" s="107"/>
      <c r="CS38" s="16" t="s">
        <v>487</v>
      </c>
      <c r="CT38" s="6" t="s">
        <v>473</v>
      </c>
      <c r="CV38" s="4" t="s">
        <v>13</v>
      </c>
      <c r="CW38" s="5" t="s">
        <v>315</v>
      </c>
      <c r="CY38" s="106" t="s">
        <v>713</v>
      </c>
      <c r="CZ38" s="107"/>
      <c r="DB38" s="4" t="s">
        <v>231</v>
      </c>
      <c r="DC38" s="4" t="s">
        <v>628</v>
      </c>
    </row>
    <row r="39" spans="1:107" x14ac:dyDescent="0.35">
      <c r="A39" s="2" t="s">
        <v>1</v>
      </c>
      <c r="B39" s="3" t="s">
        <v>2</v>
      </c>
      <c r="D39" s="4" t="s">
        <v>11</v>
      </c>
      <c r="E39" s="18" t="s">
        <v>21</v>
      </c>
      <c r="G39" s="25" t="s">
        <v>69</v>
      </c>
      <c r="H39" s="19" t="s">
        <v>17</v>
      </c>
      <c r="K39" s="25" t="s">
        <v>20</v>
      </c>
      <c r="M39" s="3" t="s">
        <v>1</v>
      </c>
      <c r="N39" s="2" t="s">
        <v>2</v>
      </c>
      <c r="P39" s="26"/>
      <c r="Q39" s="6" t="s">
        <v>85</v>
      </c>
      <c r="S39" s="12" t="s">
        <v>1</v>
      </c>
      <c r="T39" s="2" t="s">
        <v>2</v>
      </c>
      <c r="V39" s="19" t="s">
        <v>87</v>
      </c>
      <c r="W39" s="6" t="s">
        <v>61</v>
      </c>
      <c r="Y39" s="4" t="s">
        <v>71</v>
      </c>
      <c r="AB39" s="26"/>
      <c r="AC39" s="4" t="s">
        <v>17</v>
      </c>
      <c r="AE39" s="20" t="s">
        <v>11</v>
      </c>
      <c r="AF39" s="53" t="s">
        <v>72</v>
      </c>
      <c r="AH39" s="6" t="s">
        <v>13</v>
      </c>
      <c r="AK39" s="106" t="s">
        <v>327</v>
      </c>
      <c r="AL39" s="107"/>
      <c r="AN39" s="2" t="s">
        <v>1</v>
      </c>
      <c r="AO39" s="3" t="s">
        <v>2</v>
      </c>
      <c r="AQ39" s="4" t="s">
        <v>231</v>
      </c>
      <c r="AT39" s="4" t="s">
        <v>264</v>
      </c>
      <c r="AW39" s="2" t="s">
        <v>1</v>
      </c>
      <c r="AX39" s="3" t="s">
        <v>2</v>
      </c>
      <c r="AZ39" s="4" t="s">
        <v>13</v>
      </c>
      <c r="BC39" s="108" t="s">
        <v>511</v>
      </c>
      <c r="BD39" s="108"/>
      <c r="BF39" s="4" t="s">
        <v>231</v>
      </c>
      <c r="BI39" s="106" t="s">
        <v>536</v>
      </c>
      <c r="BJ39" s="107"/>
      <c r="BL39" s="106" t="s">
        <v>545</v>
      </c>
      <c r="BM39" s="107"/>
      <c r="BR39" s="4" t="s">
        <v>69</v>
      </c>
      <c r="BU39" s="2" t="s">
        <v>1</v>
      </c>
      <c r="BV39" s="3" t="s">
        <v>2</v>
      </c>
      <c r="BX39" s="2" t="s">
        <v>1</v>
      </c>
      <c r="BY39" s="3" t="s">
        <v>2</v>
      </c>
      <c r="CG39" s="2" t="s">
        <v>1</v>
      </c>
      <c r="CH39" s="3" t="s">
        <v>2</v>
      </c>
      <c r="CJ39" s="4" t="s">
        <v>231</v>
      </c>
      <c r="CK39" s="6" t="s">
        <v>305</v>
      </c>
      <c r="CN39" s="6" t="s">
        <v>487</v>
      </c>
      <c r="CP39" s="2" t="s">
        <v>1</v>
      </c>
      <c r="CQ39" s="3" t="s">
        <v>2</v>
      </c>
      <c r="CS39" s="4" t="s">
        <v>231</v>
      </c>
      <c r="CT39" s="4" t="s">
        <v>305</v>
      </c>
      <c r="CV39" s="4" t="s">
        <v>13</v>
      </c>
      <c r="CW39" s="6" t="s">
        <v>20</v>
      </c>
      <c r="CY39" s="2" t="s">
        <v>1</v>
      </c>
      <c r="CZ39" s="3" t="s">
        <v>2</v>
      </c>
      <c r="DB39" s="16" t="s">
        <v>487</v>
      </c>
      <c r="DC39" s="6" t="s">
        <v>628</v>
      </c>
    </row>
    <row r="40" spans="1:107" x14ac:dyDescent="0.35">
      <c r="A40" s="4" t="s">
        <v>350</v>
      </c>
      <c r="B40" s="6" t="s">
        <v>31</v>
      </c>
      <c r="D40" s="4" t="s">
        <v>13</v>
      </c>
      <c r="G40" s="26"/>
      <c r="H40" s="25" t="s">
        <v>21</v>
      </c>
      <c r="M40" s="4" t="s">
        <v>11</v>
      </c>
      <c r="N40" s="4" t="s">
        <v>15</v>
      </c>
      <c r="P40" s="26"/>
      <c r="Q40" s="25" t="s">
        <v>22</v>
      </c>
      <c r="S40" s="20" t="s">
        <v>72</v>
      </c>
      <c r="T40" s="4" t="s">
        <v>15</v>
      </c>
      <c r="V40" s="10" t="s">
        <v>34</v>
      </c>
      <c r="W40" s="5" t="s">
        <v>61</v>
      </c>
      <c r="AF40" s="24" t="s">
        <v>353</v>
      </c>
      <c r="AH40" s="4" t="s">
        <v>231</v>
      </c>
      <c r="AK40" s="3" t="s">
        <v>1</v>
      </c>
      <c r="AL40" s="2" t="s">
        <v>2</v>
      </c>
      <c r="AN40" s="4" t="s">
        <v>231</v>
      </c>
      <c r="AO40" s="48" t="s">
        <v>317</v>
      </c>
      <c r="AQ40" s="4" t="s">
        <v>231</v>
      </c>
      <c r="AW40" s="4" t="s">
        <v>10</v>
      </c>
      <c r="AX40" s="6" t="s">
        <v>62</v>
      </c>
      <c r="AZ40" s="4" t="s">
        <v>13</v>
      </c>
      <c r="BF40" s="6" t="s">
        <v>69</v>
      </c>
      <c r="BI40" s="2" t="s">
        <v>1</v>
      </c>
      <c r="BJ40" s="3" t="s">
        <v>2</v>
      </c>
      <c r="BL40" s="2" t="s">
        <v>1</v>
      </c>
      <c r="BM40" s="3" t="s">
        <v>2</v>
      </c>
      <c r="BO40" s="106" t="s">
        <v>556</v>
      </c>
      <c r="BP40" s="107"/>
      <c r="BR40" s="6" t="s">
        <v>561</v>
      </c>
      <c r="BU40" s="4" t="s">
        <v>389</v>
      </c>
      <c r="BV40" s="6" t="s">
        <v>466</v>
      </c>
      <c r="BX40" s="4" t="s">
        <v>69</v>
      </c>
      <c r="BY40" s="10" t="s">
        <v>200</v>
      </c>
      <c r="CA40" s="106" t="s">
        <v>608</v>
      </c>
      <c r="CB40" s="107"/>
      <c r="CD40" s="106" t="s">
        <v>620</v>
      </c>
      <c r="CE40" s="107"/>
      <c r="CG40" s="4" t="s">
        <v>231</v>
      </c>
      <c r="CH40" s="4" t="s">
        <v>20</v>
      </c>
      <c r="CJ40" s="6" t="s">
        <v>87</v>
      </c>
      <c r="CK40" s="5" t="s">
        <v>22</v>
      </c>
      <c r="CN40" s="4" t="s">
        <v>20</v>
      </c>
      <c r="CP40" s="4" t="s">
        <v>677</v>
      </c>
      <c r="CQ40" s="6" t="s">
        <v>20</v>
      </c>
      <c r="CS40" s="4" t="s">
        <v>231</v>
      </c>
      <c r="CT40" s="4" t="s">
        <v>305</v>
      </c>
      <c r="CV40" s="4" t="s">
        <v>629</v>
      </c>
      <c r="CY40" s="4" t="s">
        <v>458</v>
      </c>
      <c r="CZ40" s="48" t="s">
        <v>487</v>
      </c>
      <c r="DB40" s="4" t="s">
        <v>231</v>
      </c>
      <c r="DC40" s="5" t="s">
        <v>305</v>
      </c>
    </row>
    <row r="41" spans="1:107" x14ac:dyDescent="0.35">
      <c r="A41" s="4" t="s">
        <v>350</v>
      </c>
      <c r="B41" s="6" t="s">
        <v>23</v>
      </c>
      <c r="G41" s="26"/>
      <c r="H41" s="25" t="s">
        <v>64</v>
      </c>
      <c r="J41" s="106" t="s">
        <v>96</v>
      </c>
      <c r="K41" s="107"/>
      <c r="N41" s="6" t="s">
        <v>85</v>
      </c>
      <c r="Q41" s="6" t="s">
        <v>351</v>
      </c>
      <c r="T41" s="25" t="s">
        <v>46</v>
      </c>
      <c r="V41" s="19" t="s">
        <v>71</v>
      </c>
      <c r="W41" s="5" t="s">
        <v>64</v>
      </c>
      <c r="Y41" s="106" t="s">
        <v>199</v>
      </c>
      <c r="Z41" s="107"/>
      <c r="AB41" s="106" t="s">
        <v>223</v>
      </c>
      <c r="AC41" s="107"/>
      <c r="AE41" s="108" t="s">
        <v>243</v>
      </c>
      <c r="AF41" s="108"/>
      <c r="AH41" s="4" t="s">
        <v>231</v>
      </c>
      <c r="AK41" s="20" t="s">
        <v>39</v>
      </c>
      <c r="AL41" s="4" t="s">
        <v>22</v>
      </c>
      <c r="AN41" s="4" t="s">
        <v>349</v>
      </c>
      <c r="AO41" s="51" t="s">
        <v>72</v>
      </c>
      <c r="AQ41" s="4" t="s">
        <v>231</v>
      </c>
      <c r="AT41" s="106" t="s">
        <v>461</v>
      </c>
      <c r="AU41" s="107"/>
      <c r="AW41" s="4" t="s">
        <v>10</v>
      </c>
      <c r="AX41" s="4" t="s">
        <v>22</v>
      </c>
      <c r="BC41" s="106" t="s">
        <v>512</v>
      </c>
      <c r="BD41" s="107"/>
      <c r="BI41" s="19" t="s">
        <v>231</v>
      </c>
      <c r="BJ41" s="18" t="s">
        <v>22</v>
      </c>
      <c r="BL41" s="19" t="s">
        <v>231</v>
      </c>
      <c r="BM41" s="19" t="s">
        <v>377</v>
      </c>
      <c r="BO41" s="2" t="s">
        <v>1</v>
      </c>
      <c r="BP41" s="3" t="s">
        <v>2</v>
      </c>
      <c r="BU41" s="6" t="s">
        <v>13</v>
      </c>
      <c r="BV41" s="4" t="s">
        <v>377</v>
      </c>
      <c r="BX41" s="6" t="s">
        <v>561</v>
      </c>
      <c r="CA41" s="2" t="s">
        <v>1</v>
      </c>
      <c r="CB41" s="3" t="s">
        <v>2</v>
      </c>
      <c r="CD41" s="2" t="s">
        <v>1</v>
      </c>
      <c r="CE41" s="3" t="s">
        <v>2</v>
      </c>
      <c r="CG41" s="4" t="s">
        <v>13</v>
      </c>
      <c r="CH41" s="6" t="s">
        <v>233</v>
      </c>
      <c r="CK41" s="6" t="s">
        <v>20</v>
      </c>
      <c r="CN41" s="24" t="s">
        <v>12</v>
      </c>
      <c r="CP41" s="4" t="s">
        <v>389</v>
      </c>
      <c r="CQ41" s="10" t="s">
        <v>478</v>
      </c>
      <c r="CS41" s="4" t="s">
        <v>231</v>
      </c>
      <c r="CY41" s="4" t="s">
        <v>643</v>
      </c>
      <c r="DB41" s="16" t="s">
        <v>305</v>
      </c>
      <c r="DC41" s="6" t="s">
        <v>487</v>
      </c>
    </row>
    <row r="42" spans="1:107" x14ac:dyDescent="0.35">
      <c r="A42" s="4" t="s">
        <v>30</v>
      </c>
      <c r="B42" s="4" t="s">
        <v>17</v>
      </c>
      <c r="D42" s="106" t="s">
        <v>55</v>
      </c>
      <c r="E42" s="107"/>
      <c r="J42" s="3" t="s">
        <v>1</v>
      </c>
      <c r="K42" s="2" t="s">
        <v>2</v>
      </c>
      <c r="N42" s="4" t="s">
        <v>15</v>
      </c>
      <c r="Q42" s="6" t="s">
        <v>38</v>
      </c>
      <c r="T42" s="4" t="s">
        <v>20</v>
      </c>
      <c r="Y42" s="11" t="s">
        <v>1</v>
      </c>
      <c r="Z42" s="3" t="s">
        <v>2</v>
      </c>
      <c r="AB42" s="3" t="s">
        <v>1</v>
      </c>
      <c r="AC42" s="2" t="s">
        <v>2</v>
      </c>
      <c r="AK42" s="17" t="s">
        <v>231</v>
      </c>
      <c r="AL42" s="4" t="s">
        <v>22</v>
      </c>
      <c r="AN42" s="17" t="s">
        <v>231</v>
      </c>
      <c r="AO42" s="4" t="s">
        <v>305</v>
      </c>
      <c r="AT42" s="2" t="s">
        <v>1</v>
      </c>
      <c r="AU42" s="3" t="s">
        <v>2</v>
      </c>
      <c r="AW42" s="99" t="s">
        <v>305</v>
      </c>
      <c r="AX42" s="6" t="s">
        <v>233</v>
      </c>
      <c r="AZ42" s="106" t="s">
        <v>497</v>
      </c>
      <c r="BA42" s="107"/>
      <c r="BC42" s="2" t="s">
        <v>1</v>
      </c>
      <c r="BD42" s="3" t="s">
        <v>2</v>
      </c>
      <c r="BF42" s="106" t="s">
        <v>525</v>
      </c>
      <c r="BG42" s="107"/>
      <c r="BI42" s="19" t="s">
        <v>458</v>
      </c>
      <c r="BJ42" s="25" t="s">
        <v>88</v>
      </c>
      <c r="BL42" s="19" t="s">
        <v>231</v>
      </c>
      <c r="BM42" s="19" t="s">
        <v>22</v>
      </c>
      <c r="BO42" s="19" t="s">
        <v>389</v>
      </c>
      <c r="BP42" s="19" t="s">
        <v>377</v>
      </c>
      <c r="BR42" s="106" t="s">
        <v>570</v>
      </c>
      <c r="BS42" s="107"/>
      <c r="BU42" s="4" t="s">
        <v>231</v>
      </c>
      <c r="BX42" s="10" t="s">
        <v>201</v>
      </c>
      <c r="CA42" s="4" t="s">
        <v>13</v>
      </c>
      <c r="CB42" s="6" t="s">
        <v>587</v>
      </c>
      <c r="CD42" s="4" t="s">
        <v>231</v>
      </c>
      <c r="CE42" s="4" t="s">
        <v>305</v>
      </c>
      <c r="CG42" s="4" t="s">
        <v>231</v>
      </c>
      <c r="CK42" s="6" t="s">
        <v>645</v>
      </c>
      <c r="CM42" s="108" t="s">
        <v>664</v>
      </c>
      <c r="CN42" s="108"/>
      <c r="CP42" s="4" t="s">
        <v>13</v>
      </c>
      <c r="CQ42" s="6" t="s">
        <v>22</v>
      </c>
      <c r="CV42" s="106" t="s">
        <v>703</v>
      </c>
      <c r="CW42" s="107"/>
      <c r="CY42" s="4" t="s">
        <v>13</v>
      </c>
      <c r="DB42" s="4" t="s">
        <v>13</v>
      </c>
      <c r="DC42" s="4" t="s">
        <v>628</v>
      </c>
    </row>
    <row r="43" spans="1:107" x14ac:dyDescent="0.35">
      <c r="A43" s="6" t="s">
        <v>13</v>
      </c>
      <c r="D43" s="2" t="s">
        <v>1</v>
      </c>
      <c r="E43" s="3" t="s">
        <v>2</v>
      </c>
      <c r="G43" s="106" t="s">
        <v>70</v>
      </c>
      <c r="H43" s="107"/>
      <c r="J43" s="19" t="s">
        <v>48</v>
      </c>
      <c r="K43" s="19" t="s">
        <v>85</v>
      </c>
      <c r="Q43" s="6" t="s">
        <v>64</v>
      </c>
      <c r="V43" s="106" t="s">
        <v>184</v>
      </c>
      <c r="W43" s="107"/>
      <c r="Y43" s="19" t="s">
        <v>71</v>
      </c>
      <c r="Z43" s="33" t="s">
        <v>51</v>
      </c>
      <c r="AB43" s="20" t="s">
        <v>71</v>
      </c>
      <c r="AC43" s="4" t="s">
        <v>15</v>
      </c>
      <c r="AE43" s="106" t="s">
        <v>247</v>
      </c>
      <c r="AF43" s="107"/>
      <c r="AH43" s="106" t="s">
        <v>318</v>
      </c>
      <c r="AI43" s="107"/>
      <c r="AL43" s="4" t="s">
        <v>233</v>
      </c>
      <c r="AO43" s="5" t="s">
        <v>315</v>
      </c>
      <c r="AQ43" s="106" t="s">
        <v>388</v>
      </c>
      <c r="AR43" s="107"/>
      <c r="AT43" s="4" t="s">
        <v>231</v>
      </c>
      <c r="AU43" s="98" t="s">
        <v>285</v>
      </c>
      <c r="AW43" s="4" t="s">
        <v>231</v>
      </c>
      <c r="AX43" s="6" t="s">
        <v>233</v>
      </c>
      <c r="AZ43" s="2" t="s">
        <v>1</v>
      </c>
      <c r="BA43" s="3" t="s">
        <v>2</v>
      </c>
      <c r="BC43" s="4" t="s">
        <v>231</v>
      </c>
      <c r="BD43" s="19" t="s">
        <v>305</v>
      </c>
      <c r="BF43" s="3" t="s">
        <v>1</v>
      </c>
      <c r="BG43" s="2" t="s">
        <v>2</v>
      </c>
      <c r="BI43" s="10" t="s">
        <v>458</v>
      </c>
      <c r="BJ43" s="25" t="s">
        <v>317</v>
      </c>
      <c r="BL43" s="10" t="s">
        <v>13</v>
      </c>
      <c r="BM43" s="4" t="s">
        <v>305</v>
      </c>
      <c r="BO43" s="4" t="s">
        <v>231</v>
      </c>
      <c r="BR43" s="2" t="s">
        <v>1</v>
      </c>
      <c r="BS43" s="3" t="s">
        <v>2</v>
      </c>
      <c r="CA43" s="4" t="s">
        <v>458</v>
      </c>
      <c r="CB43" s="4" t="s">
        <v>587</v>
      </c>
      <c r="CD43" s="4" t="s">
        <v>231</v>
      </c>
      <c r="CE43" s="4" t="s">
        <v>233</v>
      </c>
      <c r="CG43" s="4" t="s">
        <v>389</v>
      </c>
      <c r="CP43" s="4" t="s">
        <v>458</v>
      </c>
      <c r="CQ43" s="5" t="s">
        <v>473</v>
      </c>
      <c r="CS43" s="106" t="s">
        <v>690</v>
      </c>
      <c r="CT43" s="107"/>
      <c r="CV43" s="2" t="s">
        <v>1</v>
      </c>
      <c r="CW43" s="3" t="s">
        <v>2</v>
      </c>
      <c r="CY43" s="6" t="s">
        <v>643</v>
      </c>
      <c r="DB43" s="10" t="s">
        <v>231</v>
      </c>
    </row>
    <row r="44" spans="1:107" x14ac:dyDescent="0.35">
      <c r="D44" s="20" t="s">
        <v>48</v>
      </c>
      <c r="E44" s="6" t="s">
        <v>38</v>
      </c>
      <c r="G44" s="2" t="s">
        <v>1</v>
      </c>
      <c r="H44" s="3" t="s">
        <v>2</v>
      </c>
      <c r="J44" s="10" t="s">
        <v>13</v>
      </c>
      <c r="K44" s="25" t="s">
        <v>21</v>
      </c>
      <c r="M44" s="106" t="s">
        <v>139</v>
      </c>
      <c r="N44" s="107"/>
      <c r="Q44" s="6" t="s">
        <v>57</v>
      </c>
      <c r="S44" s="106" t="s">
        <v>162</v>
      </c>
      <c r="T44" s="107"/>
      <c r="V44" s="11" t="s">
        <v>1</v>
      </c>
      <c r="W44" s="3" t="s">
        <v>2</v>
      </c>
      <c r="Y44" s="19" t="s">
        <v>11</v>
      </c>
      <c r="Z44" s="35" t="s">
        <v>85</v>
      </c>
      <c r="AC44" s="4" t="s">
        <v>85</v>
      </c>
      <c r="AE44" s="11" t="s">
        <v>1</v>
      </c>
      <c r="AF44" s="3" t="s">
        <v>2</v>
      </c>
      <c r="AH44" s="2" t="s">
        <v>1</v>
      </c>
      <c r="AI44" s="3" t="s">
        <v>2</v>
      </c>
      <c r="AQ44" s="2" t="s">
        <v>1</v>
      </c>
      <c r="AR44" s="3" t="s">
        <v>2</v>
      </c>
      <c r="AT44" s="4" t="s">
        <v>458</v>
      </c>
      <c r="AU44" s="33" t="s">
        <v>20</v>
      </c>
      <c r="AW44" s="4" t="s">
        <v>231</v>
      </c>
      <c r="AX44" s="5" t="s">
        <v>233</v>
      </c>
      <c r="AZ44" s="4" t="s">
        <v>231</v>
      </c>
      <c r="BC44" s="4" t="s">
        <v>231</v>
      </c>
      <c r="BD44" s="25" t="s">
        <v>396</v>
      </c>
      <c r="BG44" s="4" t="s">
        <v>377</v>
      </c>
      <c r="BI44" s="19" t="s">
        <v>231</v>
      </c>
      <c r="BL44" s="4" t="s">
        <v>231</v>
      </c>
      <c r="BO44" s="4" t="s">
        <v>10</v>
      </c>
      <c r="BR44" s="19" t="s">
        <v>389</v>
      </c>
      <c r="BS44" s="25" t="s">
        <v>478</v>
      </c>
      <c r="BU44" s="106" t="s">
        <v>581</v>
      </c>
      <c r="BV44" s="107"/>
      <c r="BX44" s="106" t="s">
        <v>597</v>
      </c>
      <c r="BY44" s="107"/>
      <c r="CA44" s="4" t="s">
        <v>389</v>
      </c>
      <c r="CB44" s="4" t="s">
        <v>396</v>
      </c>
      <c r="CD44" s="6" t="s">
        <v>389</v>
      </c>
      <c r="CE44" s="4" t="s">
        <v>377</v>
      </c>
      <c r="CJ44" s="106" t="s">
        <v>646</v>
      </c>
      <c r="CK44" s="107"/>
      <c r="CM44" s="106" t="s">
        <v>666</v>
      </c>
      <c r="CN44" s="107"/>
      <c r="CP44" s="4" t="s">
        <v>228</v>
      </c>
      <c r="CQ44" s="6" t="s">
        <v>478</v>
      </c>
      <c r="CS44" s="2" t="s">
        <v>1</v>
      </c>
      <c r="CT44" s="3" t="s">
        <v>2</v>
      </c>
      <c r="CV44" s="4" t="s">
        <v>269</v>
      </c>
      <c r="CW44" s="4" t="s">
        <v>305</v>
      </c>
      <c r="CY44" s="4" t="s">
        <v>458</v>
      </c>
      <c r="DB44" s="4" t="s">
        <v>398</v>
      </c>
    </row>
    <row r="45" spans="1:107" x14ac:dyDescent="0.35">
      <c r="A45" s="106" t="s">
        <v>28</v>
      </c>
      <c r="B45" s="107"/>
      <c r="D45" s="17" t="s">
        <v>11</v>
      </c>
      <c r="E45" s="10" t="s">
        <v>57</v>
      </c>
      <c r="G45" s="19" t="s">
        <v>71</v>
      </c>
      <c r="H45" s="25" t="s">
        <v>31</v>
      </c>
      <c r="J45" s="26"/>
      <c r="K45" s="19" t="s">
        <v>85</v>
      </c>
      <c r="M45" s="11" t="s">
        <v>1</v>
      </c>
      <c r="N45" s="3" t="s">
        <v>2</v>
      </c>
      <c r="Q45" s="4" t="s">
        <v>57</v>
      </c>
      <c r="S45" s="2" t="s">
        <v>1</v>
      </c>
      <c r="T45" s="3" t="s">
        <v>2</v>
      </c>
      <c r="V45" s="39" t="s">
        <v>30</v>
      </c>
      <c r="W45" s="19" t="s">
        <v>85</v>
      </c>
      <c r="Z45" s="6" t="s">
        <v>31</v>
      </c>
      <c r="AC45" s="6" t="s">
        <v>200</v>
      </c>
      <c r="AE45" s="19" t="s">
        <v>11</v>
      </c>
      <c r="AF45" s="25" t="s">
        <v>43</v>
      </c>
      <c r="AH45" s="53" t="s">
        <v>231</v>
      </c>
      <c r="AI45" s="51" t="s">
        <v>72</v>
      </c>
      <c r="AK45" s="106" t="s">
        <v>330</v>
      </c>
      <c r="AL45" s="107"/>
      <c r="AN45" s="106" t="s">
        <v>346</v>
      </c>
      <c r="AO45" s="107"/>
      <c r="AQ45" s="6" t="s">
        <v>69</v>
      </c>
      <c r="AR45" s="51" t="s">
        <v>72</v>
      </c>
      <c r="AT45" s="4" t="s">
        <v>458</v>
      </c>
      <c r="AX45" s="6" t="s">
        <v>305</v>
      </c>
      <c r="AZ45" s="4" t="s">
        <v>458</v>
      </c>
      <c r="BC45" s="19" t="s">
        <v>398</v>
      </c>
      <c r="BD45" s="4" t="s">
        <v>396</v>
      </c>
      <c r="BG45" s="4" t="s">
        <v>377</v>
      </c>
      <c r="BL45" s="4" t="s">
        <v>231</v>
      </c>
      <c r="BR45" s="4" t="s">
        <v>69</v>
      </c>
      <c r="BS45" s="6" t="s">
        <v>396</v>
      </c>
      <c r="BU45" s="2" t="s">
        <v>1</v>
      </c>
      <c r="BV45" s="3" t="s">
        <v>2</v>
      </c>
      <c r="BX45" s="2" t="s">
        <v>1</v>
      </c>
      <c r="BY45" s="3" t="s">
        <v>2</v>
      </c>
      <c r="CB45" s="6" t="s">
        <v>478</v>
      </c>
      <c r="CD45" s="4" t="s">
        <v>231</v>
      </c>
      <c r="CE45" s="6" t="s">
        <v>233</v>
      </c>
      <c r="CG45" s="106" t="s">
        <v>636</v>
      </c>
      <c r="CH45" s="107"/>
      <c r="CJ45" s="2" t="s">
        <v>1</v>
      </c>
      <c r="CK45" s="3" t="s">
        <v>2</v>
      </c>
      <c r="CM45" s="2" t="s">
        <v>1</v>
      </c>
      <c r="CN45" s="3" t="s">
        <v>2</v>
      </c>
      <c r="CP45" s="4" t="s">
        <v>231</v>
      </c>
      <c r="CQ45" s="5" t="s">
        <v>22</v>
      </c>
      <c r="CS45" s="4" t="s">
        <v>231</v>
      </c>
      <c r="CT45" s="4" t="s">
        <v>233</v>
      </c>
      <c r="CV45" s="4" t="s">
        <v>500</v>
      </c>
      <c r="CW45" s="4" t="s">
        <v>396</v>
      </c>
    </row>
    <row r="46" spans="1:107" x14ac:dyDescent="0.35">
      <c r="A46" s="11" t="s">
        <v>1</v>
      </c>
      <c r="B46" s="12" t="s">
        <v>2</v>
      </c>
      <c r="D46" s="17" t="s">
        <v>48</v>
      </c>
      <c r="E46" s="4" t="s">
        <v>38</v>
      </c>
      <c r="G46" s="10" t="s">
        <v>48</v>
      </c>
      <c r="H46" s="25" t="s">
        <v>62</v>
      </c>
      <c r="J46" s="26"/>
      <c r="K46" s="25" t="s">
        <v>61</v>
      </c>
      <c r="M46" s="25" t="s">
        <v>69</v>
      </c>
      <c r="Q46" s="5" t="s">
        <v>64</v>
      </c>
      <c r="S46" s="4" t="s">
        <v>48</v>
      </c>
      <c r="T46" s="6" t="s">
        <v>61</v>
      </c>
      <c r="V46" s="20" t="s">
        <v>12</v>
      </c>
      <c r="W46" s="25" t="s">
        <v>85</v>
      </c>
      <c r="AE46" s="4" t="s">
        <v>69</v>
      </c>
      <c r="AF46" s="4" t="s">
        <v>72</v>
      </c>
      <c r="AH46" s="17" t="s">
        <v>231</v>
      </c>
      <c r="AI46" s="6" t="s">
        <v>20</v>
      </c>
      <c r="AK46" s="2" t="s">
        <v>1</v>
      </c>
      <c r="AL46" s="3" t="s">
        <v>2</v>
      </c>
      <c r="AN46" s="2" t="s">
        <v>1</v>
      </c>
      <c r="AO46" s="3" t="s">
        <v>2</v>
      </c>
      <c r="AQ46" s="4" t="s">
        <v>87</v>
      </c>
      <c r="AR46" s="4" t="s">
        <v>377</v>
      </c>
      <c r="AZ46" s="25" t="s">
        <v>69</v>
      </c>
      <c r="BC46" s="4" t="s">
        <v>398</v>
      </c>
      <c r="BI46" s="106" t="s">
        <v>537</v>
      </c>
      <c r="BJ46" s="107"/>
      <c r="BL46" s="4" t="s">
        <v>231</v>
      </c>
      <c r="BO46" s="106" t="s">
        <v>557</v>
      </c>
      <c r="BP46" s="107"/>
      <c r="BR46" s="6" t="s">
        <v>87</v>
      </c>
      <c r="BS46" s="4" t="s">
        <v>305</v>
      </c>
      <c r="BU46" s="4" t="s">
        <v>231</v>
      </c>
      <c r="BV46" s="6" t="s">
        <v>233</v>
      </c>
      <c r="BX46" s="4" t="s">
        <v>201</v>
      </c>
      <c r="BY46" s="4" t="s">
        <v>200</v>
      </c>
      <c r="CB46" s="4" t="s">
        <v>22</v>
      </c>
      <c r="CD46" s="4" t="s">
        <v>231</v>
      </c>
      <c r="CG46" s="2" t="s">
        <v>1</v>
      </c>
      <c r="CH46" s="3" t="s">
        <v>2</v>
      </c>
      <c r="CJ46" s="6" t="s">
        <v>13</v>
      </c>
      <c r="CK46" s="6" t="s">
        <v>645</v>
      </c>
      <c r="CM46" s="6" t="s">
        <v>494</v>
      </c>
      <c r="CN46" s="6" t="s">
        <v>315</v>
      </c>
      <c r="CP46" s="16" t="s">
        <v>274</v>
      </c>
      <c r="CQ46" s="6" t="s">
        <v>20</v>
      </c>
      <c r="CS46" s="4" t="s">
        <v>231</v>
      </c>
      <c r="CT46" s="6" t="s">
        <v>487</v>
      </c>
      <c r="CV46" s="4" t="s">
        <v>500</v>
      </c>
      <c r="CW46" s="6" t="s">
        <v>20</v>
      </c>
      <c r="CY46" s="106" t="s">
        <v>714</v>
      </c>
      <c r="CZ46" s="107"/>
      <c r="DB46" s="106" t="s">
        <v>725</v>
      </c>
      <c r="DC46" s="107"/>
    </row>
    <row r="47" spans="1:107" x14ac:dyDescent="0.35">
      <c r="A47" s="4" t="s">
        <v>11</v>
      </c>
      <c r="B47" s="4" t="s">
        <v>15</v>
      </c>
      <c r="D47" s="17" t="s">
        <v>48</v>
      </c>
      <c r="E47" s="6" t="s">
        <v>351</v>
      </c>
      <c r="G47" s="19" t="s">
        <v>72</v>
      </c>
      <c r="H47" s="19" t="s">
        <v>15</v>
      </c>
      <c r="M47" s="4" t="s">
        <v>48</v>
      </c>
      <c r="S47" s="19" t="s">
        <v>350</v>
      </c>
      <c r="T47" s="6" t="s">
        <v>21</v>
      </c>
      <c r="V47" s="20" t="s">
        <v>71</v>
      </c>
      <c r="W47" s="25" t="s">
        <v>62</v>
      </c>
      <c r="Y47" s="106" t="s">
        <v>206</v>
      </c>
      <c r="Z47" s="107"/>
      <c r="AB47" s="106" t="s">
        <v>230</v>
      </c>
      <c r="AC47" s="107"/>
      <c r="AE47" s="4" t="s">
        <v>48</v>
      </c>
      <c r="AF47" s="6" t="s">
        <v>46</v>
      </c>
      <c r="AH47" s="17" t="s">
        <v>231</v>
      </c>
      <c r="AI47" s="4" t="s">
        <v>52</v>
      </c>
      <c r="AK47" s="4" t="s">
        <v>231</v>
      </c>
      <c r="AL47" s="5" t="s">
        <v>315</v>
      </c>
      <c r="AN47" s="4" t="s">
        <v>12</v>
      </c>
      <c r="AO47" s="51" t="s">
        <v>12</v>
      </c>
      <c r="AQ47" s="4" t="s">
        <v>13</v>
      </c>
      <c r="AT47" s="106" t="s">
        <v>462</v>
      </c>
      <c r="AU47" s="107"/>
      <c r="AW47" s="106" t="s">
        <v>476</v>
      </c>
      <c r="AX47" s="107"/>
      <c r="AZ47" s="4" t="s">
        <v>231</v>
      </c>
      <c r="BF47" s="106" t="s">
        <v>526</v>
      </c>
      <c r="BG47" s="107"/>
      <c r="BI47" s="2" t="s">
        <v>1</v>
      </c>
      <c r="BJ47" s="3" t="s">
        <v>2</v>
      </c>
      <c r="BL47" s="4" t="s">
        <v>231</v>
      </c>
      <c r="BO47" s="2" t="s">
        <v>1</v>
      </c>
      <c r="BP47" s="3" t="s">
        <v>2</v>
      </c>
      <c r="BR47" s="4" t="s">
        <v>231</v>
      </c>
      <c r="BS47" s="6" t="s">
        <v>478</v>
      </c>
      <c r="BU47" s="6" t="s">
        <v>228</v>
      </c>
      <c r="BV47" s="4" t="s">
        <v>22</v>
      </c>
      <c r="BX47" s="6" t="s">
        <v>201</v>
      </c>
      <c r="BY47" s="10" t="s">
        <v>200</v>
      </c>
      <c r="CB47" s="6" t="s">
        <v>396</v>
      </c>
      <c r="CD47" s="4" t="s">
        <v>231</v>
      </c>
      <c r="CG47" s="4" t="s">
        <v>229</v>
      </c>
      <c r="CH47" s="6" t="s">
        <v>233</v>
      </c>
      <c r="CJ47" s="5" t="s">
        <v>13</v>
      </c>
      <c r="CK47" s="6" t="s">
        <v>315</v>
      </c>
      <c r="CM47" s="4" t="s">
        <v>231</v>
      </c>
      <c r="CN47" s="6" t="s">
        <v>315</v>
      </c>
      <c r="CP47" s="16" t="s">
        <v>274</v>
      </c>
      <c r="CQ47" s="5" t="s">
        <v>20</v>
      </c>
      <c r="CS47" s="4" t="s">
        <v>389</v>
      </c>
      <c r="CT47" s="6" t="s">
        <v>487</v>
      </c>
      <c r="CV47" s="6" t="s">
        <v>458</v>
      </c>
      <c r="CW47" s="4" t="s">
        <v>356</v>
      </c>
      <c r="CY47" s="2" t="s">
        <v>1</v>
      </c>
      <c r="CZ47" s="3" t="s">
        <v>2</v>
      </c>
      <c r="DB47" s="2" t="s">
        <v>1</v>
      </c>
      <c r="DC47" s="3" t="s">
        <v>2</v>
      </c>
    </row>
    <row r="48" spans="1:107" x14ac:dyDescent="0.35">
      <c r="A48" s="4" t="s">
        <v>350</v>
      </c>
      <c r="E48" s="4" t="s">
        <v>38</v>
      </c>
      <c r="G48" s="10" t="s">
        <v>11</v>
      </c>
      <c r="H48" s="25" t="s">
        <v>43</v>
      </c>
      <c r="J48" s="106" t="s">
        <v>97</v>
      </c>
      <c r="K48" s="107"/>
      <c r="P48" s="106" t="s">
        <v>153</v>
      </c>
      <c r="Q48" s="107"/>
      <c r="V48" s="26"/>
      <c r="W48" s="25" t="s">
        <v>46</v>
      </c>
      <c r="Y48" s="12" t="s">
        <v>1</v>
      </c>
      <c r="Z48" s="2" t="s">
        <v>2</v>
      </c>
      <c r="AB48" s="11" t="s">
        <v>1</v>
      </c>
      <c r="AC48" s="3" t="s">
        <v>2</v>
      </c>
      <c r="AE48" s="4" t="s">
        <v>10</v>
      </c>
      <c r="AI48" s="6" t="s">
        <v>62</v>
      </c>
      <c r="AK48" s="4" t="s">
        <v>10</v>
      </c>
      <c r="AL48" s="6" t="s">
        <v>233</v>
      </c>
      <c r="AN48" s="4" t="s">
        <v>13</v>
      </c>
      <c r="AO48" s="51" t="s">
        <v>72</v>
      </c>
      <c r="AQ48" s="4" t="s">
        <v>389</v>
      </c>
      <c r="AT48" s="3" t="s">
        <v>1</v>
      </c>
      <c r="AU48" s="2" t="s">
        <v>2</v>
      </c>
      <c r="AW48" s="2" t="s">
        <v>1</v>
      </c>
      <c r="AX48" s="3" t="s">
        <v>2</v>
      </c>
      <c r="BC48" s="106" t="s">
        <v>513</v>
      </c>
      <c r="BD48" s="107"/>
      <c r="BF48" s="2" t="s">
        <v>1</v>
      </c>
      <c r="BG48" s="3" t="s">
        <v>2</v>
      </c>
      <c r="BI48" s="19" t="s">
        <v>10</v>
      </c>
      <c r="BJ48" s="19" t="s">
        <v>72</v>
      </c>
      <c r="BL48" s="4" t="s">
        <v>14</v>
      </c>
      <c r="BO48" s="19" t="s">
        <v>10</v>
      </c>
      <c r="BP48" s="10" t="s">
        <v>478</v>
      </c>
      <c r="BS48" s="5" t="s">
        <v>478</v>
      </c>
      <c r="BU48" s="4" t="s">
        <v>13</v>
      </c>
      <c r="BX48" s="4" t="s">
        <v>458</v>
      </c>
      <c r="CB48" s="6" t="s">
        <v>478</v>
      </c>
      <c r="CD48" s="4" t="s">
        <v>231</v>
      </c>
      <c r="CG48" s="4" t="s">
        <v>231</v>
      </c>
      <c r="CH48" s="6" t="s">
        <v>233</v>
      </c>
      <c r="CJ48" s="4" t="s">
        <v>398</v>
      </c>
      <c r="CK48" s="6" t="s">
        <v>377</v>
      </c>
      <c r="CM48" s="4" t="s">
        <v>231</v>
      </c>
      <c r="CN48" s="5" t="s">
        <v>315</v>
      </c>
      <c r="CP48" s="4" t="s">
        <v>396</v>
      </c>
      <c r="CQ48" s="6" t="s">
        <v>233</v>
      </c>
      <c r="CS48" s="10" t="s">
        <v>231</v>
      </c>
      <c r="CT48" s="5" t="s">
        <v>487</v>
      </c>
      <c r="CV48" s="4" t="s">
        <v>389</v>
      </c>
      <c r="CW48" s="5" t="s">
        <v>317</v>
      </c>
      <c r="CY48" s="4" t="s">
        <v>231</v>
      </c>
      <c r="CZ48" s="6" t="s">
        <v>645</v>
      </c>
      <c r="DB48" s="4" t="s">
        <v>629</v>
      </c>
      <c r="DC48" s="5" t="s">
        <v>22</v>
      </c>
    </row>
    <row r="49" spans="1:107" x14ac:dyDescent="0.35">
      <c r="G49" s="10" t="s">
        <v>13</v>
      </c>
      <c r="H49" s="18" t="s">
        <v>73</v>
      </c>
      <c r="J49" s="11" t="s">
        <v>1</v>
      </c>
      <c r="K49" s="12" t="s">
        <v>2</v>
      </c>
      <c r="M49" s="106" t="s">
        <v>140</v>
      </c>
      <c r="N49" s="107"/>
      <c r="P49" s="2" t="s">
        <v>1</v>
      </c>
      <c r="Q49" s="3" t="s">
        <v>2</v>
      </c>
      <c r="S49" s="106" t="s">
        <v>163</v>
      </c>
      <c r="T49" s="107"/>
      <c r="V49" s="26"/>
      <c r="W49" s="18" t="s">
        <v>46</v>
      </c>
      <c r="Y49" s="19" t="s">
        <v>11</v>
      </c>
      <c r="Z49" s="51" t="s">
        <v>57</v>
      </c>
      <c r="AB49" s="19" t="s">
        <v>11</v>
      </c>
      <c r="AI49" s="6" t="s">
        <v>62</v>
      </c>
      <c r="AK49" s="4" t="s">
        <v>231</v>
      </c>
      <c r="AN49" s="17" t="s">
        <v>13</v>
      </c>
      <c r="AO49" s="6" t="s">
        <v>233</v>
      </c>
      <c r="AQ49" s="10" t="s">
        <v>231</v>
      </c>
      <c r="AT49" s="4" t="s">
        <v>458</v>
      </c>
      <c r="AU49" s="6" t="s">
        <v>46</v>
      </c>
      <c r="AW49" s="4" t="s">
        <v>13</v>
      </c>
      <c r="AX49" s="6" t="s">
        <v>305</v>
      </c>
      <c r="AZ49" s="106" t="s">
        <v>498</v>
      </c>
      <c r="BA49" s="107"/>
      <c r="BC49" s="2" t="s">
        <v>1</v>
      </c>
      <c r="BD49" s="3" t="s">
        <v>2</v>
      </c>
      <c r="BF49" s="4" t="s">
        <v>231</v>
      </c>
      <c r="BG49" s="51" t="s">
        <v>377</v>
      </c>
      <c r="BI49" s="4" t="s">
        <v>231</v>
      </c>
      <c r="BO49" s="4" t="s">
        <v>231</v>
      </c>
      <c r="BP49" s="4" t="s">
        <v>377</v>
      </c>
      <c r="BS49" s="4" t="s">
        <v>12</v>
      </c>
      <c r="BU49" s="4" t="s">
        <v>561</v>
      </c>
      <c r="CB49" s="5" t="s">
        <v>478</v>
      </c>
      <c r="CD49" s="4" t="s">
        <v>229</v>
      </c>
      <c r="CG49" s="4" t="s">
        <v>231</v>
      </c>
      <c r="CH49" s="5" t="s">
        <v>233</v>
      </c>
      <c r="CJ49" s="6" t="s">
        <v>228</v>
      </c>
      <c r="CM49" s="4" t="s">
        <v>231</v>
      </c>
      <c r="CN49" s="5" t="s">
        <v>487</v>
      </c>
      <c r="CS49" s="4" t="s">
        <v>629</v>
      </c>
      <c r="CT49" s="6" t="s">
        <v>233</v>
      </c>
      <c r="CV49" s="16" t="s">
        <v>274</v>
      </c>
      <c r="CW49" s="6" t="s">
        <v>478</v>
      </c>
      <c r="CY49" s="4" t="s">
        <v>231</v>
      </c>
      <c r="CZ49" s="6" t="s">
        <v>12</v>
      </c>
      <c r="DB49" s="4" t="s">
        <v>398</v>
      </c>
      <c r="DC49" s="4" t="s">
        <v>377</v>
      </c>
    </row>
    <row r="50" spans="1:107" x14ac:dyDescent="0.35">
      <c r="A50" s="106" t="s">
        <v>32</v>
      </c>
      <c r="B50" s="107"/>
      <c r="D50" s="106" t="s">
        <v>56</v>
      </c>
      <c r="E50" s="107"/>
      <c r="J50" s="4" t="s">
        <v>48</v>
      </c>
      <c r="K50" s="5" t="s">
        <v>62</v>
      </c>
      <c r="M50" s="38" t="s">
        <v>1</v>
      </c>
      <c r="N50" s="3" t="s">
        <v>2</v>
      </c>
      <c r="P50" s="25" t="s">
        <v>13</v>
      </c>
      <c r="Q50" s="4" t="s">
        <v>15</v>
      </c>
      <c r="S50" s="2" t="s">
        <v>1</v>
      </c>
      <c r="T50" s="3" t="s">
        <v>2</v>
      </c>
      <c r="Z50" s="24" t="s">
        <v>200</v>
      </c>
      <c r="AB50" s="19" t="s">
        <v>231</v>
      </c>
      <c r="AE50" s="106" t="s">
        <v>304</v>
      </c>
      <c r="AF50" s="107"/>
      <c r="AI50" s="5" t="s">
        <v>62</v>
      </c>
      <c r="AU50" s="4" t="s">
        <v>305</v>
      </c>
      <c r="AW50" s="4" t="s">
        <v>231</v>
      </c>
      <c r="AX50" s="4" t="s">
        <v>377</v>
      </c>
      <c r="AZ50" s="2" t="s">
        <v>1</v>
      </c>
      <c r="BA50" s="3" t="s">
        <v>2</v>
      </c>
      <c r="BC50" s="10" t="s">
        <v>228</v>
      </c>
      <c r="BD50" s="18" t="s">
        <v>20</v>
      </c>
      <c r="BF50" s="4" t="s">
        <v>231</v>
      </c>
      <c r="BG50" s="51" t="s">
        <v>377</v>
      </c>
      <c r="BI50" s="4" t="s">
        <v>231</v>
      </c>
      <c r="BL50" s="106" t="s">
        <v>546</v>
      </c>
      <c r="BM50" s="107"/>
      <c r="BO50" s="4" t="s">
        <v>458</v>
      </c>
      <c r="BU50" s="4" t="s">
        <v>561</v>
      </c>
      <c r="BX50" s="106" t="s">
        <v>598</v>
      </c>
      <c r="BY50" s="107"/>
      <c r="CB50" s="24" t="s">
        <v>233</v>
      </c>
      <c r="CG50" s="4" t="s">
        <v>231</v>
      </c>
      <c r="CH50" s="6" t="s">
        <v>20</v>
      </c>
      <c r="CM50" s="4" t="s">
        <v>13</v>
      </c>
      <c r="CN50" s="5" t="s">
        <v>466</v>
      </c>
      <c r="CP50" s="106" t="s">
        <v>678</v>
      </c>
      <c r="CQ50" s="107"/>
      <c r="CS50" s="6" t="s">
        <v>494</v>
      </c>
      <c r="CT50" s="6" t="s">
        <v>233</v>
      </c>
      <c r="CY50" s="4" t="s">
        <v>231</v>
      </c>
      <c r="CZ50" s="6" t="s">
        <v>20</v>
      </c>
      <c r="DB50" s="6" t="s">
        <v>13</v>
      </c>
    </row>
    <row r="51" spans="1:107" x14ac:dyDescent="0.35">
      <c r="A51" s="11" t="s">
        <v>1</v>
      </c>
      <c r="B51" s="3" t="s">
        <v>2</v>
      </c>
      <c r="D51" s="2" t="s">
        <v>1</v>
      </c>
      <c r="E51" s="3" t="s">
        <v>2</v>
      </c>
      <c r="G51" s="106" t="s">
        <v>74</v>
      </c>
      <c r="H51" s="107"/>
      <c r="J51" s="6" t="s">
        <v>50</v>
      </c>
      <c r="K51" s="4" t="s">
        <v>85</v>
      </c>
      <c r="M51" s="6" t="s">
        <v>13</v>
      </c>
      <c r="N51" s="6" t="s">
        <v>20</v>
      </c>
      <c r="P51" s="10" t="s">
        <v>13</v>
      </c>
      <c r="Q51" s="25" t="s">
        <v>21</v>
      </c>
      <c r="S51" s="20" t="s">
        <v>48</v>
      </c>
      <c r="T51" s="5" t="s">
        <v>20</v>
      </c>
      <c r="V51" s="106" t="s">
        <v>185</v>
      </c>
      <c r="W51" s="107"/>
      <c r="Y51" s="109" t="s">
        <v>207</v>
      </c>
      <c r="Z51" s="110"/>
      <c r="AB51" s="19" t="s">
        <v>231</v>
      </c>
      <c r="AE51" s="12" t="s">
        <v>1</v>
      </c>
      <c r="AF51" s="2" t="s">
        <v>2</v>
      </c>
      <c r="AK51" s="106" t="s">
        <v>333</v>
      </c>
      <c r="AL51" s="107"/>
      <c r="AN51" s="106" t="s">
        <v>378</v>
      </c>
      <c r="AO51" s="107"/>
      <c r="AQ51" s="106" t="s">
        <v>391</v>
      </c>
      <c r="AR51" s="107"/>
      <c r="AU51" s="4" t="s">
        <v>377</v>
      </c>
      <c r="AW51" s="4" t="s">
        <v>231</v>
      </c>
      <c r="AX51" s="6" t="s">
        <v>305</v>
      </c>
      <c r="AZ51" s="4" t="s">
        <v>458</v>
      </c>
      <c r="BA51" s="4" t="s">
        <v>315</v>
      </c>
      <c r="BC51" s="4" t="s">
        <v>458</v>
      </c>
      <c r="BD51" s="25" t="s">
        <v>377</v>
      </c>
      <c r="BF51" s="4" t="s">
        <v>10</v>
      </c>
      <c r="BG51" s="10" t="s">
        <v>377</v>
      </c>
      <c r="BI51" s="4" t="s">
        <v>231</v>
      </c>
      <c r="BL51" s="2" t="s">
        <v>1</v>
      </c>
      <c r="BM51" s="3" t="s">
        <v>2</v>
      </c>
      <c r="BO51" s="4" t="s">
        <v>231</v>
      </c>
      <c r="BR51" s="106" t="s">
        <v>571</v>
      </c>
      <c r="BS51" s="107"/>
      <c r="BU51" s="4" t="s">
        <v>10</v>
      </c>
      <c r="BX51" s="2" t="s">
        <v>1</v>
      </c>
      <c r="BY51" s="3" t="s">
        <v>2</v>
      </c>
      <c r="CA51" s="108" t="s">
        <v>609</v>
      </c>
      <c r="CB51" s="108"/>
      <c r="CD51" s="106" t="s">
        <v>622</v>
      </c>
      <c r="CE51" s="107"/>
      <c r="CG51" s="4" t="s">
        <v>13</v>
      </c>
      <c r="CH51" s="5" t="s">
        <v>275</v>
      </c>
      <c r="CJ51" s="106" t="s">
        <v>647</v>
      </c>
      <c r="CK51" s="107"/>
      <c r="CM51" s="4" t="s">
        <v>231</v>
      </c>
      <c r="CP51" s="2" t="s">
        <v>1</v>
      </c>
      <c r="CQ51" s="3" t="s">
        <v>2</v>
      </c>
      <c r="CT51" s="5" t="s">
        <v>233</v>
      </c>
      <c r="CV51" s="106" t="s">
        <v>704</v>
      </c>
      <c r="CW51" s="107"/>
      <c r="CY51" s="4" t="s">
        <v>629</v>
      </c>
    </row>
    <row r="52" spans="1:107" x14ac:dyDescent="0.35">
      <c r="A52" s="4" t="s">
        <v>13</v>
      </c>
      <c r="D52" s="20" t="s">
        <v>11</v>
      </c>
      <c r="E52" s="6" t="s">
        <v>31</v>
      </c>
      <c r="G52" s="2" t="s">
        <v>1</v>
      </c>
      <c r="H52" s="3" t="s">
        <v>2</v>
      </c>
      <c r="J52" s="4" t="s">
        <v>48</v>
      </c>
      <c r="M52" s="4" t="s">
        <v>48</v>
      </c>
      <c r="N52" s="4" t="s">
        <v>85</v>
      </c>
      <c r="P52" s="4" t="s">
        <v>48</v>
      </c>
      <c r="S52" s="21" t="s">
        <v>48</v>
      </c>
      <c r="T52" s="25" t="s">
        <v>64</v>
      </c>
      <c r="V52" s="11" t="s">
        <v>1</v>
      </c>
      <c r="W52" s="3" t="s">
        <v>2</v>
      </c>
      <c r="AB52" s="19" t="s">
        <v>231</v>
      </c>
      <c r="AE52" s="19" t="s">
        <v>231</v>
      </c>
      <c r="AF52" s="19" t="s">
        <v>72</v>
      </c>
      <c r="AH52" s="106" t="s">
        <v>319</v>
      </c>
      <c r="AI52" s="107"/>
      <c r="AK52" s="2" t="s">
        <v>1</v>
      </c>
      <c r="AL52" s="3" t="s">
        <v>2</v>
      </c>
      <c r="AN52" s="2" t="s">
        <v>1</v>
      </c>
      <c r="AO52" s="3" t="s">
        <v>2</v>
      </c>
      <c r="AQ52" s="2" t="s">
        <v>1</v>
      </c>
      <c r="AR52" s="3" t="s">
        <v>2</v>
      </c>
      <c r="AX52" s="5" t="s">
        <v>305</v>
      </c>
      <c r="AZ52" s="4" t="s">
        <v>231</v>
      </c>
      <c r="BC52" s="10" t="s">
        <v>13</v>
      </c>
      <c r="BD52" s="6" t="s">
        <v>233</v>
      </c>
      <c r="BF52" s="4" t="s">
        <v>458</v>
      </c>
      <c r="BI52" s="4" t="s">
        <v>13</v>
      </c>
      <c r="BL52" s="19" t="s">
        <v>10</v>
      </c>
      <c r="BM52" s="19" t="s">
        <v>377</v>
      </c>
      <c r="BR52" s="2" t="s">
        <v>1</v>
      </c>
      <c r="BS52" s="3" t="s">
        <v>2</v>
      </c>
      <c r="BX52" s="4" t="s">
        <v>10</v>
      </c>
      <c r="BY52" s="4" t="s">
        <v>200</v>
      </c>
      <c r="CD52" s="2" t="s">
        <v>1</v>
      </c>
      <c r="CE52" s="3" t="s">
        <v>2</v>
      </c>
      <c r="CG52" s="10" t="s">
        <v>231</v>
      </c>
      <c r="CH52" s="5" t="s">
        <v>315</v>
      </c>
      <c r="CJ52" s="3" t="s">
        <v>1</v>
      </c>
      <c r="CK52" s="2" t="s">
        <v>2</v>
      </c>
      <c r="CP52" s="10" t="s">
        <v>231</v>
      </c>
      <c r="CQ52" s="25" t="s">
        <v>233</v>
      </c>
      <c r="CT52" s="6" t="s">
        <v>12</v>
      </c>
      <c r="CV52" s="3" t="s">
        <v>1</v>
      </c>
      <c r="CW52" s="2" t="s">
        <v>2</v>
      </c>
      <c r="DB52" s="106" t="s">
        <v>726</v>
      </c>
      <c r="DC52" s="107"/>
    </row>
    <row r="53" spans="1:107" x14ac:dyDescent="0.35">
      <c r="D53" s="21" t="s">
        <v>48</v>
      </c>
      <c r="E53" s="19" t="s">
        <v>20</v>
      </c>
      <c r="G53" s="19" t="s">
        <v>10</v>
      </c>
      <c r="H53" s="25" t="s">
        <v>46</v>
      </c>
      <c r="M53" s="4" t="s">
        <v>44</v>
      </c>
      <c r="N53" s="6" t="s">
        <v>57</v>
      </c>
      <c r="P53" s="10" t="s">
        <v>48</v>
      </c>
      <c r="S53" s="10" t="s">
        <v>350</v>
      </c>
      <c r="T53" s="6" t="s">
        <v>62</v>
      </c>
      <c r="V53" s="20" t="s">
        <v>48</v>
      </c>
      <c r="W53" s="25" t="s">
        <v>31</v>
      </c>
      <c r="Y53" s="106" t="s">
        <v>209</v>
      </c>
      <c r="Z53" s="107"/>
      <c r="AE53" s="6" t="s">
        <v>349</v>
      </c>
      <c r="AF53" s="6" t="s">
        <v>305</v>
      </c>
      <c r="AH53" s="2" t="s">
        <v>1</v>
      </c>
      <c r="AI53" s="3" t="s">
        <v>2</v>
      </c>
      <c r="AK53" s="4" t="s">
        <v>231</v>
      </c>
      <c r="AL53" s="4" t="s">
        <v>233</v>
      </c>
      <c r="AN53" s="4" t="s">
        <v>87</v>
      </c>
      <c r="AO53" s="51" t="s">
        <v>377</v>
      </c>
      <c r="AQ53" s="4" t="s">
        <v>358</v>
      </c>
      <c r="AR53" s="48" t="s">
        <v>233</v>
      </c>
      <c r="AT53" s="106" t="s">
        <v>463</v>
      </c>
      <c r="AU53" s="107"/>
      <c r="AZ53" s="25" t="s">
        <v>228</v>
      </c>
      <c r="BC53" s="21" t="s">
        <v>458</v>
      </c>
      <c r="BD53" s="6" t="s">
        <v>478</v>
      </c>
      <c r="BF53" s="10" t="s">
        <v>13</v>
      </c>
      <c r="BL53" s="19" t="s">
        <v>458</v>
      </c>
      <c r="BM53" s="19" t="s">
        <v>377</v>
      </c>
      <c r="BO53" s="106" t="s">
        <v>558</v>
      </c>
      <c r="BP53" s="107"/>
      <c r="BR53" s="19" t="s">
        <v>231</v>
      </c>
      <c r="BS53" s="25" t="s">
        <v>305</v>
      </c>
      <c r="BU53" s="106" t="s">
        <v>582</v>
      </c>
      <c r="BV53" s="107"/>
      <c r="BX53" s="4" t="s">
        <v>231</v>
      </c>
      <c r="BY53" s="10" t="s">
        <v>200</v>
      </c>
      <c r="CA53" s="106" t="s">
        <v>610</v>
      </c>
      <c r="CB53" s="107"/>
      <c r="CD53" s="4" t="s">
        <v>621</v>
      </c>
      <c r="CE53" s="6" t="s">
        <v>305</v>
      </c>
      <c r="CK53" s="4" t="s">
        <v>233</v>
      </c>
      <c r="CM53" s="106" t="s">
        <v>667</v>
      </c>
      <c r="CN53" s="107"/>
      <c r="CP53" s="4" t="s">
        <v>389</v>
      </c>
      <c r="CQ53" s="25" t="s">
        <v>396</v>
      </c>
      <c r="CT53" s="6" t="s">
        <v>645</v>
      </c>
      <c r="CV53" s="4" t="s">
        <v>229</v>
      </c>
      <c r="CW53" s="4" t="s">
        <v>628</v>
      </c>
      <c r="CY53" s="106" t="s">
        <v>715</v>
      </c>
      <c r="CZ53" s="107"/>
      <c r="DB53" s="3" t="s">
        <v>1</v>
      </c>
      <c r="DC53" s="2" t="s">
        <v>2</v>
      </c>
    </row>
    <row r="54" spans="1:107" x14ac:dyDescent="0.35">
      <c r="A54" s="106" t="s">
        <v>33</v>
      </c>
      <c r="B54" s="107"/>
      <c r="D54" s="17" t="s">
        <v>34</v>
      </c>
      <c r="E54" s="6" t="s">
        <v>43</v>
      </c>
      <c r="G54" s="10" t="s">
        <v>10</v>
      </c>
      <c r="H54" s="25" t="s">
        <v>20</v>
      </c>
      <c r="J54" s="106" t="s">
        <v>99</v>
      </c>
      <c r="K54" s="107"/>
      <c r="M54" s="17" t="s">
        <v>48</v>
      </c>
      <c r="N54" s="6" t="s">
        <v>61</v>
      </c>
      <c r="P54" s="4" t="s">
        <v>72</v>
      </c>
      <c r="V54" s="20" t="s">
        <v>71</v>
      </c>
      <c r="W54" s="25" t="s">
        <v>43</v>
      </c>
      <c r="Y54" s="3" t="s">
        <v>1</v>
      </c>
      <c r="Z54" s="2" t="s">
        <v>2</v>
      </c>
      <c r="AB54" s="106" t="s">
        <v>232</v>
      </c>
      <c r="AC54" s="107"/>
      <c r="AF54" s="4" t="s">
        <v>72</v>
      </c>
      <c r="AH54" s="53" t="s">
        <v>231</v>
      </c>
      <c r="AI54" s="48" t="s">
        <v>12</v>
      </c>
      <c r="AK54" s="4" t="s">
        <v>13</v>
      </c>
      <c r="AL54" s="5" t="s">
        <v>275</v>
      </c>
      <c r="AN54" s="4" t="s">
        <v>12</v>
      </c>
      <c r="AO54" s="51" t="s">
        <v>377</v>
      </c>
      <c r="AQ54" s="4" t="s">
        <v>12</v>
      </c>
      <c r="AT54" s="3" t="s">
        <v>1</v>
      </c>
      <c r="AU54" s="2" t="s">
        <v>2</v>
      </c>
      <c r="AW54" s="106" t="s">
        <v>481</v>
      </c>
      <c r="AX54" s="107"/>
      <c r="AZ54" s="4" t="s">
        <v>231</v>
      </c>
      <c r="BC54" s="4" t="s">
        <v>487</v>
      </c>
      <c r="BD54" s="5" t="s">
        <v>12</v>
      </c>
      <c r="BF54" s="10" t="s">
        <v>231</v>
      </c>
      <c r="BI54" s="106" t="s">
        <v>538</v>
      </c>
      <c r="BJ54" s="107"/>
      <c r="BL54" s="4" t="s">
        <v>231</v>
      </c>
      <c r="BO54" s="3" t="s">
        <v>1</v>
      </c>
      <c r="BP54" s="2" t="s">
        <v>2</v>
      </c>
      <c r="BR54" s="4" t="s">
        <v>231</v>
      </c>
      <c r="BS54" s="6" t="s">
        <v>305</v>
      </c>
      <c r="BU54" s="2" t="s">
        <v>1</v>
      </c>
      <c r="BV54" s="3" t="s">
        <v>2</v>
      </c>
      <c r="BX54" s="4" t="s">
        <v>201</v>
      </c>
      <c r="BY54" s="4" t="s">
        <v>22</v>
      </c>
      <c r="CA54" s="2" t="s">
        <v>1</v>
      </c>
      <c r="CB54" s="3" t="s">
        <v>2</v>
      </c>
      <c r="CD54" s="4" t="s">
        <v>231</v>
      </c>
      <c r="CE54" s="6" t="s">
        <v>466</v>
      </c>
      <c r="CG54" s="106" t="s">
        <v>637</v>
      </c>
      <c r="CH54" s="107"/>
      <c r="CM54" s="3" t="s">
        <v>1</v>
      </c>
      <c r="CN54" s="2" t="s">
        <v>2</v>
      </c>
      <c r="CP54" s="4" t="s">
        <v>13</v>
      </c>
      <c r="CQ54" s="25" t="s">
        <v>12</v>
      </c>
      <c r="CT54" s="5" t="s">
        <v>478</v>
      </c>
      <c r="CV54" s="4" t="s">
        <v>643</v>
      </c>
      <c r="CW54" s="4" t="s">
        <v>628</v>
      </c>
      <c r="CY54" s="2" t="s">
        <v>1</v>
      </c>
      <c r="CZ54" s="3" t="s">
        <v>2</v>
      </c>
      <c r="DB54" s="6" t="s">
        <v>494</v>
      </c>
      <c r="DC54" s="4" t="s">
        <v>377</v>
      </c>
    </row>
    <row r="55" spans="1:107" x14ac:dyDescent="0.35">
      <c r="A55" s="11" t="s">
        <v>1</v>
      </c>
      <c r="B55" s="12" t="s">
        <v>2</v>
      </c>
      <c r="D55" s="17" t="s">
        <v>13</v>
      </c>
      <c r="E55" s="6" t="s">
        <v>15</v>
      </c>
      <c r="G55" s="19" t="s">
        <v>39</v>
      </c>
      <c r="H55" s="25" t="s">
        <v>62</v>
      </c>
      <c r="J55" s="2" t="s">
        <v>1</v>
      </c>
      <c r="K55" s="3" t="s">
        <v>2</v>
      </c>
      <c r="N55" s="4" t="s">
        <v>57</v>
      </c>
      <c r="S55" s="106" t="s">
        <v>164</v>
      </c>
      <c r="T55" s="107"/>
      <c r="V55" s="20" t="s">
        <v>71</v>
      </c>
      <c r="W55" s="25" t="s">
        <v>15</v>
      </c>
      <c r="Z55" s="4" t="s">
        <v>15</v>
      </c>
      <c r="AB55" s="11" t="s">
        <v>1</v>
      </c>
      <c r="AC55" s="3" t="s">
        <v>2</v>
      </c>
      <c r="AH55" s="17" t="s">
        <v>12</v>
      </c>
      <c r="AI55" s="4" t="s">
        <v>52</v>
      </c>
      <c r="AK55" s="19" t="s">
        <v>231</v>
      </c>
      <c r="AL55" s="4" t="s">
        <v>72</v>
      </c>
      <c r="AN55" s="6" t="s">
        <v>376</v>
      </c>
      <c r="AQ55" s="4" t="s">
        <v>358</v>
      </c>
      <c r="AT55" s="4" t="s">
        <v>458</v>
      </c>
      <c r="AU55" s="4" t="s">
        <v>233</v>
      </c>
      <c r="AW55" s="2" t="s">
        <v>1</v>
      </c>
      <c r="AX55" s="3" t="s">
        <v>2</v>
      </c>
      <c r="AZ55" s="4" t="s">
        <v>458</v>
      </c>
      <c r="BC55" s="10" t="s">
        <v>231</v>
      </c>
      <c r="BD55" s="6" t="s">
        <v>487</v>
      </c>
      <c r="BI55" s="2" t="s">
        <v>1</v>
      </c>
      <c r="BJ55" s="3" t="s">
        <v>2</v>
      </c>
      <c r="BL55" s="4" t="s">
        <v>231</v>
      </c>
      <c r="BO55" s="19" t="s">
        <v>231</v>
      </c>
      <c r="BP55" s="25" t="s">
        <v>233</v>
      </c>
      <c r="BR55" s="4" t="s">
        <v>231</v>
      </c>
      <c r="BS55" s="5" t="s">
        <v>305</v>
      </c>
      <c r="BU55" s="4" t="s">
        <v>561</v>
      </c>
      <c r="BV55" s="6" t="s">
        <v>275</v>
      </c>
      <c r="BX55" s="4" t="s">
        <v>231</v>
      </c>
      <c r="BY55" s="4" t="s">
        <v>200</v>
      </c>
      <c r="CA55" s="4" t="s">
        <v>231</v>
      </c>
      <c r="CB55" s="6" t="s">
        <v>377</v>
      </c>
      <c r="CE55" s="6" t="s">
        <v>305</v>
      </c>
      <c r="CG55" s="3" t="s">
        <v>1</v>
      </c>
      <c r="CH55" s="2" t="s">
        <v>2</v>
      </c>
      <c r="CJ55" s="106" t="s">
        <v>648</v>
      </c>
      <c r="CK55" s="107"/>
      <c r="CM55" s="4" t="s">
        <v>231</v>
      </c>
      <c r="CN55" s="4" t="s">
        <v>22</v>
      </c>
      <c r="CQ55" s="25" t="s">
        <v>473</v>
      </c>
      <c r="CT55" s="6" t="s">
        <v>10</v>
      </c>
      <c r="CV55" s="4" t="s">
        <v>231</v>
      </c>
      <c r="CW55" s="4" t="s">
        <v>628</v>
      </c>
      <c r="CY55" s="4" t="s">
        <v>629</v>
      </c>
      <c r="CZ55" s="6" t="s">
        <v>478</v>
      </c>
      <c r="DB55" s="4" t="s">
        <v>231</v>
      </c>
      <c r="DC55" s="4" t="s">
        <v>377</v>
      </c>
    </row>
    <row r="56" spans="1:107" x14ac:dyDescent="0.35">
      <c r="A56" s="4" t="s">
        <v>34</v>
      </c>
      <c r="B56" s="6" t="s">
        <v>351</v>
      </c>
      <c r="D56" s="4" t="s">
        <v>34</v>
      </c>
      <c r="E56" s="5" t="s">
        <v>52</v>
      </c>
      <c r="G56" s="19" t="s">
        <v>40</v>
      </c>
      <c r="H56" s="25" t="s">
        <v>22</v>
      </c>
      <c r="J56" s="19" t="s">
        <v>13</v>
      </c>
      <c r="K56" s="18" t="s">
        <v>64</v>
      </c>
      <c r="P56" s="106" t="s">
        <v>154</v>
      </c>
      <c r="Q56" s="107"/>
      <c r="S56" s="12" t="s">
        <v>1</v>
      </c>
      <c r="T56" s="2" t="s">
        <v>2</v>
      </c>
      <c r="V56" s="10" t="s">
        <v>11</v>
      </c>
      <c r="W56" s="18" t="s">
        <v>21</v>
      </c>
      <c r="AB56" s="19" t="s">
        <v>13</v>
      </c>
      <c r="AC56" s="4" t="s">
        <v>15</v>
      </c>
      <c r="AE56" s="106" t="s">
        <v>306</v>
      </c>
      <c r="AF56" s="107"/>
      <c r="AH56" s="17" t="s">
        <v>12</v>
      </c>
      <c r="AI56" s="4" t="s">
        <v>72</v>
      </c>
      <c r="AK56" s="4" t="s">
        <v>258</v>
      </c>
      <c r="AL56" s="6" t="s">
        <v>12</v>
      </c>
      <c r="AN56" s="4" t="s">
        <v>231</v>
      </c>
      <c r="AQ56" s="4" t="s">
        <v>358</v>
      </c>
      <c r="AT56" s="4" t="s">
        <v>228</v>
      </c>
      <c r="AU56" s="4" t="s">
        <v>377</v>
      </c>
      <c r="AW56" s="4" t="s">
        <v>479</v>
      </c>
      <c r="AX56" s="5" t="s">
        <v>377</v>
      </c>
      <c r="BC56" s="4" t="s">
        <v>514</v>
      </c>
      <c r="BD56" s="4" t="s">
        <v>377</v>
      </c>
      <c r="BF56" s="106" t="s">
        <v>527</v>
      </c>
      <c r="BG56" s="107"/>
      <c r="BI56" s="19" t="s">
        <v>13</v>
      </c>
      <c r="BJ56" s="35" t="s">
        <v>233</v>
      </c>
      <c r="BP56" s="4" t="s">
        <v>377</v>
      </c>
      <c r="BR56" s="4" t="s">
        <v>231</v>
      </c>
      <c r="BS56" s="5" t="s">
        <v>22</v>
      </c>
      <c r="BU56" s="4" t="s">
        <v>228</v>
      </c>
      <c r="BV56" s="6" t="s">
        <v>233</v>
      </c>
      <c r="BX56" s="10" t="s">
        <v>201</v>
      </c>
      <c r="CA56" s="6" t="s">
        <v>611</v>
      </c>
      <c r="CB56" s="4" t="s">
        <v>377</v>
      </c>
      <c r="CE56" s="5" t="s">
        <v>305</v>
      </c>
      <c r="CG56" s="4" t="s">
        <v>13</v>
      </c>
      <c r="CH56" s="4" t="s">
        <v>305</v>
      </c>
      <c r="CJ56" s="2" t="s">
        <v>1</v>
      </c>
      <c r="CK56" s="3" t="s">
        <v>2</v>
      </c>
      <c r="CN56" s="4" t="s">
        <v>20</v>
      </c>
      <c r="CQ56" s="25" t="s">
        <v>487</v>
      </c>
      <c r="CT56" s="6" t="s">
        <v>12</v>
      </c>
      <c r="CV56" s="4" t="s">
        <v>269</v>
      </c>
      <c r="CW56" s="5" t="s">
        <v>233</v>
      </c>
      <c r="CY56" s="4" t="s">
        <v>482</v>
      </c>
      <c r="CZ56" s="6" t="s">
        <v>487</v>
      </c>
      <c r="DB56" s="6" t="s">
        <v>228</v>
      </c>
      <c r="DC56" s="4" t="s">
        <v>20</v>
      </c>
    </row>
    <row r="57" spans="1:107" x14ac:dyDescent="0.35">
      <c r="A57" s="4" t="s">
        <v>34</v>
      </c>
      <c r="B57" s="4" t="s">
        <v>15</v>
      </c>
      <c r="G57" s="25" t="s">
        <v>44</v>
      </c>
      <c r="H57" s="26"/>
      <c r="J57" s="19" t="s">
        <v>48</v>
      </c>
      <c r="K57" s="25" t="s">
        <v>43</v>
      </c>
      <c r="M57" s="106" t="s">
        <v>141</v>
      </c>
      <c r="N57" s="107"/>
      <c r="P57" s="2" t="s">
        <v>1</v>
      </c>
      <c r="Q57" s="3" t="s">
        <v>2</v>
      </c>
      <c r="S57" s="39" t="s">
        <v>87</v>
      </c>
      <c r="T57" s="4" t="s">
        <v>85</v>
      </c>
      <c r="V57" s="26"/>
      <c r="W57" s="25" t="s">
        <v>20</v>
      </c>
      <c r="Y57" s="106" t="s">
        <v>208</v>
      </c>
      <c r="Z57" s="107"/>
      <c r="AB57" s="25" t="s">
        <v>349</v>
      </c>
      <c r="AC57" s="5" t="s">
        <v>233</v>
      </c>
      <c r="AE57" s="11" t="s">
        <v>1</v>
      </c>
      <c r="AF57" s="3" t="s">
        <v>2</v>
      </c>
      <c r="AH57" s="4" t="s">
        <v>231</v>
      </c>
      <c r="AN57" s="4" t="s">
        <v>231</v>
      </c>
      <c r="AU57" s="4" t="s">
        <v>72</v>
      </c>
      <c r="AW57" s="4" t="s">
        <v>458</v>
      </c>
      <c r="AX57" s="6" t="s">
        <v>478</v>
      </c>
      <c r="AZ57" s="106" t="s">
        <v>504</v>
      </c>
      <c r="BA57" s="107"/>
      <c r="BC57" s="6" t="s">
        <v>69</v>
      </c>
      <c r="BD57" s="6" t="s">
        <v>487</v>
      </c>
      <c r="BF57" s="2" t="s">
        <v>1</v>
      </c>
      <c r="BG57" s="3" t="s">
        <v>2</v>
      </c>
      <c r="BI57" s="4" t="s">
        <v>458</v>
      </c>
      <c r="BL57" s="106" t="s">
        <v>547</v>
      </c>
      <c r="BM57" s="107"/>
      <c r="BP57" s="4" t="s">
        <v>20</v>
      </c>
      <c r="BR57" s="4" t="s">
        <v>13</v>
      </c>
      <c r="BS57" s="6" t="s">
        <v>377</v>
      </c>
      <c r="BU57" s="4" t="s">
        <v>87</v>
      </c>
      <c r="BV57" s="6" t="s">
        <v>275</v>
      </c>
      <c r="CA57" s="4" t="s">
        <v>231</v>
      </c>
      <c r="CB57" s="4" t="s">
        <v>20</v>
      </c>
      <c r="CE57" s="6" t="s">
        <v>315</v>
      </c>
      <c r="CG57" s="4" t="s">
        <v>13</v>
      </c>
      <c r="CH57" s="4" t="s">
        <v>305</v>
      </c>
      <c r="CJ57" s="4" t="s">
        <v>231</v>
      </c>
      <c r="CK57" s="6" t="s">
        <v>20</v>
      </c>
      <c r="CN57" s="4" t="s">
        <v>396</v>
      </c>
      <c r="CT57" s="5" t="s">
        <v>12</v>
      </c>
      <c r="CW57" s="4" t="s">
        <v>628</v>
      </c>
      <c r="CY57" s="10" t="s">
        <v>629</v>
      </c>
      <c r="CZ57" s="6" t="s">
        <v>683</v>
      </c>
      <c r="DB57" s="4" t="s">
        <v>231</v>
      </c>
      <c r="DC57" s="4" t="s">
        <v>22</v>
      </c>
    </row>
    <row r="58" spans="1:107" x14ac:dyDescent="0.35">
      <c r="D58" s="106" t="s">
        <v>58</v>
      </c>
      <c r="E58" s="107"/>
      <c r="J58" s="19" t="s">
        <v>11</v>
      </c>
      <c r="K58" s="25" t="s">
        <v>15</v>
      </c>
      <c r="M58" s="11" t="s">
        <v>1</v>
      </c>
      <c r="N58" s="3" t="s">
        <v>2</v>
      </c>
      <c r="P58" s="19" t="s">
        <v>34</v>
      </c>
      <c r="Q58" s="19" t="s">
        <v>22</v>
      </c>
      <c r="S58" s="10" t="s">
        <v>50</v>
      </c>
      <c r="T58" s="25" t="s">
        <v>64</v>
      </c>
      <c r="W58" s="18" t="s">
        <v>61</v>
      </c>
      <c r="Y58" s="12" t="s">
        <v>1</v>
      </c>
      <c r="Z58" s="2" t="s">
        <v>2</v>
      </c>
      <c r="AB58" s="19" t="s">
        <v>69</v>
      </c>
      <c r="AC58" s="5" t="s">
        <v>353</v>
      </c>
      <c r="AE58" s="19" t="s">
        <v>231</v>
      </c>
      <c r="AF58" s="34" t="s">
        <v>72</v>
      </c>
      <c r="AK58" s="106" t="s">
        <v>334</v>
      </c>
      <c r="AL58" s="107"/>
      <c r="AQ58" s="106" t="s">
        <v>392</v>
      </c>
      <c r="AR58" s="107"/>
      <c r="AW58" s="4" t="s">
        <v>482</v>
      </c>
      <c r="AZ58" s="2" t="s">
        <v>1</v>
      </c>
      <c r="BA58" s="3" t="s">
        <v>2</v>
      </c>
      <c r="BC58" s="4" t="s">
        <v>514</v>
      </c>
      <c r="BD58" s="5" t="s">
        <v>487</v>
      </c>
      <c r="BF58" s="10" t="s">
        <v>458</v>
      </c>
      <c r="BG58" s="51" t="s">
        <v>72</v>
      </c>
      <c r="BI58" s="4" t="s">
        <v>389</v>
      </c>
      <c r="BL58" s="3" t="s">
        <v>1</v>
      </c>
      <c r="BM58" s="2" t="s">
        <v>2</v>
      </c>
      <c r="BS58" s="6" t="s">
        <v>377</v>
      </c>
      <c r="BU58" s="4" t="s">
        <v>231</v>
      </c>
      <c r="BV58" s="5" t="s">
        <v>275</v>
      </c>
      <c r="BX58" s="106" t="s">
        <v>599</v>
      </c>
      <c r="BY58" s="107"/>
      <c r="CA58" s="4" t="s">
        <v>231</v>
      </c>
      <c r="CB58" s="6" t="s">
        <v>487</v>
      </c>
      <c r="CG58" s="4" t="s">
        <v>13</v>
      </c>
      <c r="CH58" s="6" t="s">
        <v>396</v>
      </c>
      <c r="CJ58" s="4" t="s">
        <v>458</v>
      </c>
      <c r="CK58" s="4" t="s">
        <v>305</v>
      </c>
      <c r="CN58" s="6" t="s">
        <v>22</v>
      </c>
      <c r="CP58" s="106" t="s">
        <v>679</v>
      </c>
      <c r="CQ58" s="107"/>
      <c r="CT58" s="6" t="s">
        <v>305</v>
      </c>
      <c r="CW58" s="4" t="s">
        <v>628</v>
      </c>
      <c r="CY58" s="6" t="s">
        <v>228</v>
      </c>
      <c r="CZ58" s="4" t="s">
        <v>396</v>
      </c>
      <c r="DB58" s="6" t="s">
        <v>229</v>
      </c>
    </row>
    <row r="59" spans="1:107" x14ac:dyDescent="0.35">
      <c r="D59" s="3" t="s">
        <v>1</v>
      </c>
      <c r="E59" s="2" t="s">
        <v>2</v>
      </c>
      <c r="G59" s="106" t="s">
        <v>84</v>
      </c>
      <c r="H59" s="107"/>
      <c r="J59" s="19" t="s">
        <v>13</v>
      </c>
      <c r="K59" s="25" t="s">
        <v>51</v>
      </c>
      <c r="M59" s="19" t="s">
        <v>350</v>
      </c>
      <c r="P59" s="19" t="s">
        <v>11</v>
      </c>
      <c r="Q59" s="25" t="s">
        <v>51</v>
      </c>
      <c r="T59" s="6" t="s">
        <v>15</v>
      </c>
      <c r="W59" s="25" t="s">
        <v>57</v>
      </c>
      <c r="Y59" s="19" t="s">
        <v>11</v>
      </c>
      <c r="Z59" s="51" t="s">
        <v>200</v>
      </c>
      <c r="AB59" s="19" t="s">
        <v>11</v>
      </c>
      <c r="AE59" s="4" t="s">
        <v>10</v>
      </c>
      <c r="AH59" s="106" t="s">
        <v>320</v>
      </c>
      <c r="AI59" s="107"/>
      <c r="AK59" s="3" t="s">
        <v>1</v>
      </c>
      <c r="AL59" s="2" t="s">
        <v>2</v>
      </c>
      <c r="AN59" s="106" t="s">
        <v>379</v>
      </c>
      <c r="AO59" s="107"/>
      <c r="AQ59" s="2" t="s">
        <v>1</v>
      </c>
      <c r="AR59" s="3" t="s">
        <v>2</v>
      </c>
      <c r="AT59" s="106" t="s">
        <v>465</v>
      </c>
      <c r="AU59" s="107"/>
      <c r="AW59" s="4" t="s">
        <v>479</v>
      </c>
      <c r="AZ59" s="4" t="s">
        <v>10</v>
      </c>
      <c r="BA59" s="6" t="s">
        <v>233</v>
      </c>
      <c r="BC59" s="4" t="s">
        <v>229</v>
      </c>
      <c r="BD59" s="6" t="s">
        <v>233</v>
      </c>
      <c r="BF59" s="4" t="s">
        <v>398</v>
      </c>
      <c r="BG59" s="51" t="s">
        <v>72</v>
      </c>
      <c r="BI59" s="6" t="s">
        <v>13</v>
      </c>
      <c r="BL59" s="25" t="s">
        <v>376</v>
      </c>
      <c r="BM59" s="19" t="s">
        <v>377</v>
      </c>
      <c r="BO59" s="106" t="s">
        <v>559</v>
      </c>
      <c r="BP59" s="107"/>
      <c r="BS59" s="5" t="s">
        <v>377</v>
      </c>
      <c r="BX59" s="2" t="s">
        <v>1</v>
      </c>
      <c r="BY59" s="3" t="s">
        <v>2</v>
      </c>
      <c r="CA59" s="6" t="s">
        <v>342</v>
      </c>
      <c r="CB59" s="4" t="s">
        <v>589</v>
      </c>
      <c r="CD59" s="106" t="s">
        <v>623</v>
      </c>
      <c r="CE59" s="107"/>
      <c r="CH59" s="6" t="s">
        <v>466</v>
      </c>
      <c r="CJ59" s="4" t="s">
        <v>231</v>
      </c>
      <c r="CK59" s="6" t="s">
        <v>233</v>
      </c>
      <c r="CP59" s="3" t="s">
        <v>1</v>
      </c>
      <c r="CQ59" s="2" t="s">
        <v>2</v>
      </c>
      <c r="CT59" s="6" t="s">
        <v>645</v>
      </c>
      <c r="CY59" s="6" t="s">
        <v>611</v>
      </c>
      <c r="CZ59" s="6" t="s">
        <v>233</v>
      </c>
    </row>
    <row r="60" spans="1:107" x14ac:dyDescent="0.35">
      <c r="D60" s="20" t="s">
        <v>10</v>
      </c>
      <c r="E60" s="4" t="s">
        <v>57</v>
      </c>
      <c r="G60" s="12" t="s">
        <v>1</v>
      </c>
      <c r="H60" s="11" t="s">
        <v>2</v>
      </c>
      <c r="J60" s="19" t="s">
        <v>71</v>
      </c>
      <c r="K60" s="18" t="s">
        <v>51</v>
      </c>
      <c r="M60" s="10" t="s">
        <v>87</v>
      </c>
      <c r="P60" s="19" t="s">
        <v>11</v>
      </c>
      <c r="Q60" s="25" t="s">
        <v>61</v>
      </c>
      <c r="T60" s="6" t="s">
        <v>21</v>
      </c>
      <c r="W60" s="18" t="s">
        <v>31</v>
      </c>
      <c r="Y60" s="18" t="s">
        <v>145</v>
      </c>
      <c r="Z60" s="36" t="s">
        <v>20</v>
      </c>
      <c r="AE60" s="4" t="s">
        <v>349</v>
      </c>
      <c r="AH60" s="2" t="s">
        <v>1</v>
      </c>
      <c r="AI60" s="3" t="s">
        <v>2</v>
      </c>
      <c r="AL60" s="5" t="s">
        <v>72</v>
      </c>
      <c r="AN60" s="3" t="s">
        <v>1</v>
      </c>
      <c r="AO60" s="2" t="s">
        <v>2</v>
      </c>
      <c r="AQ60" s="4" t="s">
        <v>12</v>
      </c>
      <c r="AT60" s="2" t="s">
        <v>1</v>
      </c>
      <c r="AU60" s="3" t="s">
        <v>2</v>
      </c>
      <c r="AW60" s="4" t="s">
        <v>479</v>
      </c>
      <c r="AZ60" s="4" t="s">
        <v>13</v>
      </c>
      <c r="BD60" s="5" t="s">
        <v>233</v>
      </c>
      <c r="BF60" s="4" t="s">
        <v>87</v>
      </c>
      <c r="BG60" s="19" t="s">
        <v>305</v>
      </c>
      <c r="BL60" s="25" t="s">
        <v>10</v>
      </c>
      <c r="BM60" s="19" t="s">
        <v>377</v>
      </c>
      <c r="BO60" s="2" t="s">
        <v>1</v>
      </c>
      <c r="BP60" s="3" t="s">
        <v>2</v>
      </c>
      <c r="BS60" s="5" t="s">
        <v>233</v>
      </c>
      <c r="BU60" s="106" t="s">
        <v>583</v>
      </c>
      <c r="BV60" s="107"/>
      <c r="BX60" s="10" t="s">
        <v>201</v>
      </c>
      <c r="BY60" s="6" t="s">
        <v>200</v>
      </c>
      <c r="CA60" s="4" t="s">
        <v>13</v>
      </c>
      <c r="CD60" s="2" t="s">
        <v>1</v>
      </c>
      <c r="CE60" s="3" t="s">
        <v>2</v>
      </c>
      <c r="CH60" s="4" t="s">
        <v>305</v>
      </c>
      <c r="CJ60" s="4" t="s">
        <v>458</v>
      </c>
      <c r="CK60" s="5" t="s">
        <v>396</v>
      </c>
      <c r="CM60" s="106" t="s">
        <v>668</v>
      </c>
      <c r="CN60" s="107"/>
      <c r="CP60" s="4" t="s">
        <v>643</v>
      </c>
      <c r="CQ60" s="6" t="s">
        <v>233</v>
      </c>
      <c r="CT60" s="5" t="s">
        <v>645</v>
      </c>
      <c r="CV60" s="106" t="s">
        <v>705</v>
      </c>
      <c r="CW60" s="107"/>
      <c r="CY60" s="6" t="s">
        <v>229</v>
      </c>
      <c r="DB60" s="106" t="s">
        <v>727</v>
      </c>
      <c r="DC60" s="107"/>
    </row>
    <row r="61" spans="1:107" x14ac:dyDescent="0.35">
      <c r="D61" s="20" t="s">
        <v>48</v>
      </c>
      <c r="E61" s="19" t="s">
        <v>57</v>
      </c>
      <c r="G61" s="4" t="s">
        <v>11</v>
      </c>
      <c r="H61" s="4" t="s">
        <v>85</v>
      </c>
      <c r="J61" s="19" t="s">
        <v>71</v>
      </c>
      <c r="K61" s="25" t="s">
        <v>31</v>
      </c>
      <c r="P61" s="19" t="s">
        <v>69</v>
      </c>
      <c r="Q61" s="18" t="s">
        <v>22</v>
      </c>
      <c r="T61" s="6" t="s">
        <v>31</v>
      </c>
      <c r="W61" s="25" t="s">
        <v>180</v>
      </c>
      <c r="Z61" s="4" t="s">
        <v>200</v>
      </c>
      <c r="AH61" s="10" t="s">
        <v>12</v>
      </c>
      <c r="AI61" s="51" t="s">
        <v>52</v>
      </c>
      <c r="AL61" s="4" t="s">
        <v>305</v>
      </c>
      <c r="AN61" s="4" t="s">
        <v>12</v>
      </c>
      <c r="AO61" s="51" t="s">
        <v>20</v>
      </c>
      <c r="AQ61" s="6" t="s">
        <v>269</v>
      </c>
      <c r="AT61" s="4" t="s">
        <v>69</v>
      </c>
      <c r="AU61" s="5" t="s">
        <v>315</v>
      </c>
      <c r="AW61" s="4" t="s">
        <v>479</v>
      </c>
      <c r="AZ61" s="16" t="s">
        <v>12</v>
      </c>
      <c r="BD61" s="10" t="s">
        <v>377</v>
      </c>
      <c r="BF61" s="6" t="s">
        <v>264</v>
      </c>
      <c r="BI61" s="106" t="s">
        <v>539</v>
      </c>
      <c r="BJ61" s="107"/>
      <c r="BL61" s="4" t="s">
        <v>231</v>
      </c>
      <c r="BM61" s="4" t="s">
        <v>377</v>
      </c>
      <c r="BO61" s="19" t="s">
        <v>69</v>
      </c>
      <c r="BP61" s="19" t="s">
        <v>377</v>
      </c>
      <c r="BS61" s="5" t="s">
        <v>20</v>
      </c>
      <c r="BU61" s="2" t="s">
        <v>1</v>
      </c>
      <c r="BV61" s="3" t="s">
        <v>2</v>
      </c>
      <c r="BX61" s="4" t="s">
        <v>458</v>
      </c>
      <c r="CD61" s="4" t="s">
        <v>229</v>
      </c>
      <c r="CE61" s="4" t="s">
        <v>20</v>
      </c>
      <c r="CH61" s="6" t="s">
        <v>466</v>
      </c>
      <c r="CM61" s="3" t="s">
        <v>1</v>
      </c>
      <c r="CN61" s="2" t="s">
        <v>2</v>
      </c>
      <c r="CP61" s="4" t="s">
        <v>458</v>
      </c>
      <c r="CQ61" s="6" t="s">
        <v>10</v>
      </c>
      <c r="CV61" s="2" t="s">
        <v>1</v>
      </c>
      <c r="CW61" s="3" t="s">
        <v>2</v>
      </c>
      <c r="DB61" s="3" t="s">
        <v>1</v>
      </c>
      <c r="DC61" s="2" t="s">
        <v>2</v>
      </c>
    </row>
    <row r="62" spans="1:107" x14ac:dyDescent="0.35">
      <c r="D62" s="23" t="s">
        <v>30</v>
      </c>
      <c r="E62" s="24" t="s">
        <v>15</v>
      </c>
      <c r="G62" s="6" t="s">
        <v>50</v>
      </c>
      <c r="H62" s="4" t="s">
        <v>85</v>
      </c>
      <c r="J62" s="19" t="s">
        <v>48</v>
      </c>
      <c r="K62" s="18" t="s">
        <v>31</v>
      </c>
      <c r="P62" s="19" t="s">
        <v>71</v>
      </c>
      <c r="Q62" s="25" t="s">
        <v>31</v>
      </c>
      <c r="W62" s="25" t="s">
        <v>85</v>
      </c>
      <c r="AH62" s="17" t="s">
        <v>231</v>
      </c>
      <c r="AI62" s="4" t="s">
        <v>72</v>
      </c>
      <c r="AN62" s="6" t="s">
        <v>228</v>
      </c>
      <c r="AO62" s="51" t="s">
        <v>72</v>
      </c>
      <c r="AQ62" s="4" t="s">
        <v>12</v>
      </c>
      <c r="AT62" s="4" t="s">
        <v>458</v>
      </c>
      <c r="AU62" s="6" t="s">
        <v>22</v>
      </c>
      <c r="AZ62" s="4" t="s">
        <v>231</v>
      </c>
      <c r="BF62" s="19" t="s">
        <v>69</v>
      </c>
      <c r="BI62" s="2" t="s">
        <v>1</v>
      </c>
      <c r="BJ62" s="3" t="s">
        <v>2</v>
      </c>
      <c r="BO62" s="4" t="s">
        <v>10</v>
      </c>
      <c r="BP62" s="4" t="s">
        <v>305</v>
      </c>
      <c r="BU62" s="4" t="s">
        <v>13</v>
      </c>
      <c r="BV62" s="4" t="s">
        <v>22</v>
      </c>
      <c r="BX62" s="4" t="s">
        <v>458</v>
      </c>
      <c r="CA62" s="106" t="s">
        <v>612</v>
      </c>
      <c r="CB62" s="107"/>
      <c r="CD62" s="4" t="s">
        <v>231</v>
      </c>
      <c r="CE62" s="6" t="s">
        <v>478</v>
      </c>
      <c r="CH62" s="5" t="s">
        <v>466</v>
      </c>
      <c r="CJ62" s="106" t="s">
        <v>649</v>
      </c>
      <c r="CK62" s="107"/>
      <c r="CM62" s="4" t="s">
        <v>231</v>
      </c>
      <c r="CN62" s="4" t="s">
        <v>478</v>
      </c>
      <c r="CQ62" s="4" t="s">
        <v>22</v>
      </c>
      <c r="CS62" s="106" t="s">
        <v>691</v>
      </c>
      <c r="CT62" s="107"/>
      <c r="CV62" s="4" t="s">
        <v>629</v>
      </c>
      <c r="CW62" s="6" t="s">
        <v>645</v>
      </c>
      <c r="CY62" s="106" t="s">
        <v>716</v>
      </c>
      <c r="CZ62" s="107"/>
      <c r="DB62" s="6" t="s">
        <v>269</v>
      </c>
      <c r="DC62" s="4" t="s">
        <v>233</v>
      </c>
    </row>
    <row r="63" spans="1:107" x14ac:dyDescent="0.35">
      <c r="D63" s="108" t="s">
        <v>59</v>
      </c>
      <c r="E63" s="108"/>
      <c r="J63" s="19" t="s">
        <v>40</v>
      </c>
      <c r="K63" s="25" t="s">
        <v>15</v>
      </c>
      <c r="P63" s="25" t="s">
        <v>350</v>
      </c>
      <c r="Q63" s="25" t="s">
        <v>51</v>
      </c>
      <c r="S63" s="106" t="s">
        <v>174</v>
      </c>
      <c r="T63" s="107"/>
      <c r="Y63" s="106" t="s">
        <v>210</v>
      </c>
      <c r="Z63" s="107"/>
      <c r="AH63" s="17" t="s">
        <v>231</v>
      </c>
      <c r="AI63" s="4" t="s">
        <v>52</v>
      </c>
      <c r="AK63" s="106" t="s">
        <v>335</v>
      </c>
      <c r="AL63" s="107"/>
      <c r="AN63" s="10" t="s">
        <v>231</v>
      </c>
      <c r="AQ63" s="4" t="s">
        <v>231</v>
      </c>
      <c r="AT63" s="4" t="s">
        <v>231</v>
      </c>
      <c r="AW63" s="106" t="s">
        <v>483</v>
      </c>
      <c r="AX63" s="107"/>
      <c r="BC63" s="106" t="s">
        <v>515</v>
      </c>
      <c r="BD63" s="107"/>
      <c r="BF63" s="19" t="s">
        <v>69</v>
      </c>
      <c r="BI63" s="4" t="s">
        <v>10</v>
      </c>
      <c r="BL63" s="106" t="s">
        <v>548</v>
      </c>
      <c r="BM63" s="107"/>
      <c r="BO63" s="4" t="s">
        <v>13</v>
      </c>
      <c r="BP63" s="10" t="s">
        <v>20</v>
      </c>
      <c r="BR63" s="106" t="s">
        <v>572</v>
      </c>
      <c r="BS63" s="107"/>
      <c r="BU63" s="4" t="s">
        <v>13</v>
      </c>
      <c r="CA63" s="2" t="s">
        <v>1</v>
      </c>
      <c r="CB63" s="3" t="s">
        <v>2</v>
      </c>
      <c r="CH63" s="4" t="s">
        <v>305</v>
      </c>
      <c r="CJ63" s="2" t="s">
        <v>1</v>
      </c>
      <c r="CK63" s="3" t="s">
        <v>2</v>
      </c>
      <c r="CM63" s="4" t="s">
        <v>231</v>
      </c>
      <c r="CN63" s="4" t="s">
        <v>20</v>
      </c>
      <c r="CQ63" s="4" t="s">
        <v>22</v>
      </c>
      <c r="CS63" s="2" t="s">
        <v>1</v>
      </c>
      <c r="CT63" s="3" t="s">
        <v>2</v>
      </c>
      <c r="CV63" s="5" t="s">
        <v>69</v>
      </c>
      <c r="CY63" s="3" t="s">
        <v>1</v>
      </c>
      <c r="CZ63" s="2" t="s">
        <v>2</v>
      </c>
    </row>
    <row r="64" spans="1:107" x14ac:dyDescent="0.35">
      <c r="G64" s="106" t="s">
        <v>89</v>
      </c>
      <c r="H64" s="107"/>
      <c r="K64" s="18" t="s">
        <v>15</v>
      </c>
      <c r="P64" s="19" t="s">
        <v>69</v>
      </c>
      <c r="Q64" s="18" t="s">
        <v>51</v>
      </c>
      <c r="S64" s="3" t="s">
        <v>1</v>
      </c>
      <c r="T64" s="2" t="s">
        <v>2</v>
      </c>
      <c r="V64" s="106" t="s">
        <v>186</v>
      </c>
      <c r="W64" s="107"/>
      <c r="Y64" s="11" t="s">
        <v>1</v>
      </c>
      <c r="Z64" s="3" t="s">
        <v>2</v>
      </c>
      <c r="AH64" s="4" t="s">
        <v>231</v>
      </c>
      <c r="AI64" s="48" t="s">
        <v>301</v>
      </c>
      <c r="AK64" s="2" t="s">
        <v>1</v>
      </c>
      <c r="AL64" s="3" t="s">
        <v>2</v>
      </c>
      <c r="AT64" s="4" t="s">
        <v>13</v>
      </c>
      <c r="AW64" s="2" t="s">
        <v>1</v>
      </c>
      <c r="AX64" s="3" t="s">
        <v>2</v>
      </c>
      <c r="BC64" s="2" t="s">
        <v>1</v>
      </c>
      <c r="BD64" s="3" t="s">
        <v>2</v>
      </c>
      <c r="BI64" s="4" t="s">
        <v>231</v>
      </c>
      <c r="BL64" s="2" t="s">
        <v>1</v>
      </c>
      <c r="BM64" s="3" t="s">
        <v>2</v>
      </c>
      <c r="BR64" s="2" t="s">
        <v>1</v>
      </c>
      <c r="BS64" s="3" t="s">
        <v>2</v>
      </c>
      <c r="CA64" s="103" t="s">
        <v>231</v>
      </c>
      <c r="CB64" s="103" t="s">
        <v>377</v>
      </c>
      <c r="CD64" s="106" t="s">
        <v>624</v>
      </c>
      <c r="CE64" s="107"/>
      <c r="CJ64" s="4" t="s">
        <v>231</v>
      </c>
      <c r="CK64" s="6" t="s">
        <v>12</v>
      </c>
      <c r="CM64" s="6" t="s">
        <v>13</v>
      </c>
      <c r="CN64" s="4" t="s">
        <v>396</v>
      </c>
      <c r="CQ64" s="5" t="s">
        <v>478</v>
      </c>
      <c r="CS64" s="4" t="s">
        <v>13</v>
      </c>
      <c r="CT64" s="6" t="s">
        <v>20</v>
      </c>
      <c r="CY64" s="6" t="s">
        <v>69</v>
      </c>
      <c r="CZ64" s="4" t="s">
        <v>628</v>
      </c>
      <c r="DB64" s="106" t="s">
        <v>728</v>
      </c>
      <c r="DC64" s="107"/>
    </row>
    <row r="65" spans="7:107" x14ac:dyDescent="0.35">
      <c r="G65" s="11" t="s">
        <v>1</v>
      </c>
      <c r="H65" s="12" t="s">
        <v>2</v>
      </c>
      <c r="K65" s="25" t="s">
        <v>61</v>
      </c>
      <c r="P65" s="19" t="s">
        <v>11</v>
      </c>
      <c r="Q65" s="25" t="s">
        <v>20</v>
      </c>
      <c r="S65" s="26"/>
      <c r="T65" s="4" t="s">
        <v>21</v>
      </c>
      <c r="V65" s="11" t="s">
        <v>1</v>
      </c>
      <c r="W65" s="3" t="s">
        <v>2</v>
      </c>
      <c r="Y65" s="19" t="s">
        <v>11</v>
      </c>
      <c r="AH65" s="4" t="s">
        <v>13</v>
      </c>
      <c r="AK65" s="20" t="s">
        <v>12</v>
      </c>
      <c r="AL65" s="4" t="s">
        <v>72</v>
      </c>
      <c r="AN65" s="106" t="s">
        <v>380</v>
      </c>
      <c r="AO65" s="107"/>
      <c r="AQ65" s="106" t="s">
        <v>393</v>
      </c>
      <c r="AR65" s="107"/>
      <c r="AW65" s="6" t="s">
        <v>482</v>
      </c>
      <c r="BC65" s="4" t="s">
        <v>10</v>
      </c>
      <c r="BD65" s="19" t="s">
        <v>396</v>
      </c>
      <c r="BF65" s="106" t="s">
        <v>529</v>
      </c>
      <c r="BG65" s="107"/>
      <c r="BI65" s="4" t="s">
        <v>10</v>
      </c>
      <c r="BL65" s="19" t="s">
        <v>458</v>
      </c>
      <c r="BM65" s="25" t="s">
        <v>233</v>
      </c>
      <c r="BO65" s="106" t="s">
        <v>560</v>
      </c>
      <c r="BP65" s="107"/>
      <c r="BR65" s="19" t="s">
        <v>231</v>
      </c>
      <c r="BS65" s="19" t="s">
        <v>72</v>
      </c>
      <c r="BU65" s="106" t="s">
        <v>584</v>
      </c>
      <c r="BV65" s="107"/>
      <c r="CA65" s="103" t="s">
        <v>231</v>
      </c>
      <c r="CB65" s="5" t="s">
        <v>233</v>
      </c>
      <c r="CD65" s="2" t="s">
        <v>1</v>
      </c>
      <c r="CE65" s="3" t="s">
        <v>2</v>
      </c>
      <c r="CG65" s="106" t="s">
        <v>638</v>
      </c>
      <c r="CH65" s="107"/>
      <c r="CN65" s="4" t="s">
        <v>22</v>
      </c>
      <c r="CQ65" s="4" t="s">
        <v>587</v>
      </c>
      <c r="CS65" s="6" t="s">
        <v>269</v>
      </c>
      <c r="CT65" s="5" t="s">
        <v>628</v>
      </c>
      <c r="CV65" s="106" t="s">
        <v>706</v>
      </c>
      <c r="CW65" s="107"/>
      <c r="CY65" s="6" t="s">
        <v>269</v>
      </c>
      <c r="DB65" s="2" t="s">
        <v>1</v>
      </c>
      <c r="DC65" s="3" t="s">
        <v>2</v>
      </c>
    </row>
    <row r="66" spans="7:107" x14ac:dyDescent="0.35">
      <c r="G66" s="4" t="s">
        <v>87</v>
      </c>
      <c r="H66" s="4" t="s">
        <v>85</v>
      </c>
      <c r="Q66" s="18" t="s">
        <v>31</v>
      </c>
      <c r="V66" s="19" t="s">
        <v>10</v>
      </c>
      <c r="W66" s="35" t="s">
        <v>62</v>
      </c>
      <c r="AK66" s="17" t="s">
        <v>231</v>
      </c>
      <c r="AL66" s="6" t="s">
        <v>317</v>
      </c>
      <c r="AN66" s="3" t="s">
        <v>1</v>
      </c>
      <c r="AO66" s="2" t="s">
        <v>2</v>
      </c>
      <c r="AQ66" s="2" t="s">
        <v>1</v>
      </c>
      <c r="AR66" s="3" t="s">
        <v>2</v>
      </c>
      <c r="AT66" s="106" t="s">
        <v>467</v>
      </c>
      <c r="AU66" s="107"/>
      <c r="AW66" s="4" t="s">
        <v>231</v>
      </c>
      <c r="BC66" s="4" t="s">
        <v>10</v>
      </c>
      <c r="BD66" s="19" t="s">
        <v>72</v>
      </c>
      <c r="BF66" s="2" t="s">
        <v>1</v>
      </c>
      <c r="BG66" s="3" t="s">
        <v>2</v>
      </c>
      <c r="BI66" s="4" t="s">
        <v>10</v>
      </c>
      <c r="BL66" s="19" t="s">
        <v>458</v>
      </c>
      <c r="BM66" s="25" t="s">
        <v>12</v>
      </c>
      <c r="BO66" s="2" t="s">
        <v>1</v>
      </c>
      <c r="BP66" s="3" t="s">
        <v>2</v>
      </c>
      <c r="BR66" s="4" t="s">
        <v>69</v>
      </c>
      <c r="BS66" s="6" t="s">
        <v>46</v>
      </c>
      <c r="BU66" s="2" t="s">
        <v>1</v>
      </c>
      <c r="BV66" s="3" t="s">
        <v>2</v>
      </c>
      <c r="CD66" s="6" t="s">
        <v>482</v>
      </c>
      <c r="CE66" s="6" t="s">
        <v>12</v>
      </c>
      <c r="CG66" s="2" t="s">
        <v>1</v>
      </c>
      <c r="CH66" s="3" t="s">
        <v>2</v>
      </c>
      <c r="CJ66" s="106" t="s">
        <v>650</v>
      </c>
      <c r="CK66" s="107"/>
      <c r="CQ66" s="6" t="s">
        <v>233</v>
      </c>
      <c r="CT66" s="5" t="s">
        <v>22</v>
      </c>
      <c r="CV66" s="2" t="s">
        <v>1</v>
      </c>
      <c r="CW66" s="3" t="s">
        <v>2</v>
      </c>
      <c r="CY66" s="6" t="s">
        <v>269</v>
      </c>
      <c r="DB66" s="4" t="s">
        <v>685</v>
      </c>
      <c r="DC66" s="6" t="s">
        <v>22</v>
      </c>
    </row>
    <row r="67" spans="7:107" x14ac:dyDescent="0.35">
      <c r="G67" s="4" t="s">
        <v>71</v>
      </c>
      <c r="J67" s="106" t="s">
        <v>100</v>
      </c>
      <c r="K67" s="107"/>
      <c r="Q67" s="25" t="s">
        <v>64</v>
      </c>
      <c r="S67" s="106" t="s">
        <v>175</v>
      </c>
      <c r="T67" s="107"/>
      <c r="V67" s="10" t="s">
        <v>10</v>
      </c>
      <c r="W67" s="35" t="s">
        <v>51</v>
      </c>
      <c r="AL67" s="6" t="s">
        <v>62</v>
      </c>
      <c r="AN67" s="4" t="s">
        <v>13</v>
      </c>
      <c r="AO67" s="51" t="s">
        <v>315</v>
      </c>
      <c r="AQ67" s="4" t="s">
        <v>12</v>
      </c>
      <c r="AR67" s="48" t="s">
        <v>62</v>
      </c>
      <c r="AT67" s="2" t="s">
        <v>1</v>
      </c>
      <c r="AU67" s="3" t="s">
        <v>2</v>
      </c>
      <c r="AW67" s="4" t="s">
        <v>13</v>
      </c>
      <c r="BC67" s="25" t="s">
        <v>376</v>
      </c>
      <c r="BD67" s="6" t="s">
        <v>275</v>
      </c>
      <c r="BF67" s="4" t="s">
        <v>231</v>
      </c>
      <c r="BG67" s="4" t="s">
        <v>377</v>
      </c>
      <c r="BL67" s="4" t="s">
        <v>10</v>
      </c>
      <c r="BM67" s="5" t="s">
        <v>377</v>
      </c>
      <c r="BO67" s="19" t="s">
        <v>69</v>
      </c>
      <c r="BP67" s="19" t="s">
        <v>478</v>
      </c>
      <c r="BR67" s="6" t="s">
        <v>228</v>
      </c>
      <c r="BS67" s="5" t="s">
        <v>466</v>
      </c>
      <c r="BU67" s="4" t="s">
        <v>231</v>
      </c>
      <c r="BV67" s="4" t="s">
        <v>377</v>
      </c>
      <c r="CD67" s="6" t="s">
        <v>87</v>
      </c>
      <c r="CE67" s="6" t="s">
        <v>46</v>
      </c>
      <c r="CG67" s="4" t="s">
        <v>229</v>
      </c>
      <c r="CH67" s="6" t="s">
        <v>315</v>
      </c>
      <c r="CJ67" s="2" t="s">
        <v>1</v>
      </c>
      <c r="CK67" s="3" t="s">
        <v>2</v>
      </c>
      <c r="CM67" s="106" t="s">
        <v>669</v>
      </c>
      <c r="CN67" s="107"/>
      <c r="CQ67" s="5" t="s">
        <v>233</v>
      </c>
      <c r="CT67" s="6" t="s">
        <v>10</v>
      </c>
      <c r="CV67" s="4" t="s">
        <v>458</v>
      </c>
      <c r="CW67" s="6" t="s">
        <v>12</v>
      </c>
      <c r="CY67" s="5" t="s">
        <v>269</v>
      </c>
      <c r="DB67" s="4" t="s">
        <v>231</v>
      </c>
      <c r="DC67" s="4" t="s">
        <v>20</v>
      </c>
    </row>
    <row r="68" spans="7:107" x14ac:dyDescent="0.35">
      <c r="J68" s="11" t="s">
        <v>1</v>
      </c>
      <c r="K68" s="3" t="s">
        <v>2</v>
      </c>
      <c r="Q68" s="19" t="s">
        <v>15</v>
      </c>
      <c r="S68" s="11" t="s">
        <v>1</v>
      </c>
      <c r="T68" s="3" t="s">
        <v>2</v>
      </c>
      <c r="V68" s="10" t="s">
        <v>48</v>
      </c>
      <c r="W68" s="35" t="s">
        <v>62</v>
      </c>
      <c r="AO68" s="4" t="s">
        <v>315</v>
      </c>
      <c r="AT68" s="4" t="s">
        <v>389</v>
      </c>
      <c r="AU68" s="6" t="s">
        <v>305</v>
      </c>
      <c r="BC68" s="10" t="s">
        <v>87</v>
      </c>
      <c r="BD68" s="6" t="s">
        <v>317</v>
      </c>
      <c r="BF68" s="16" t="s">
        <v>233</v>
      </c>
      <c r="BL68" s="4" t="s">
        <v>458</v>
      </c>
      <c r="BO68" s="4" t="s">
        <v>231</v>
      </c>
      <c r="BU68" s="4" t="s">
        <v>458</v>
      </c>
      <c r="BV68" s="4" t="s">
        <v>377</v>
      </c>
      <c r="CD68" s="4" t="s">
        <v>614</v>
      </c>
      <c r="CE68" s="4" t="s">
        <v>377</v>
      </c>
      <c r="CH68" s="6" t="s">
        <v>315</v>
      </c>
      <c r="CJ68" s="4" t="s">
        <v>231</v>
      </c>
      <c r="CK68" s="5" t="s">
        <v>651</v>
      </c>
      <c r="CM68" s="2" t="s">
        <v>1</v>
      </c>
      <c r="CN68" s="3" t="s">
        <v>2</v>
      </c>
      <c r="CV68" s="4" t="s">
        <v>611</v>
      </c>
      <c r="CW68" s="6" t="s">
        <v>487</v>
      </c>
    </row>
    <row r="69" spans="7:107" x14ac:dyDescent="0.35">
      <c r="G69" s="106" t="s">
        <v>90</v>
      </c>
      <c r="H69" s="107"/>
      <c r="J69" s="4" t="s">
        <v>48</v>
      </c>
      <c r="Q69" s="18" t="s">
        <v>88</v>
      </c>
      <c r="S69" s="19" t="s">
        <v>13</v>
      </c>
      <c r="T69" s="4" t="s">
        <v>20</v>
      </c>
      <c r="V69" s="10" t="s">
        <v>13</v>
      </c>
      <c r="W69" s="44" t="s">
        <v>62</v>
      </c>
      <c r="AT69" s="4" t="s">
        <v>231</v>
      </c>
      <c r="AU69" s="4" t="s">
        <v>466</v>
      </c>
      <c r="AW69" s="106" t="s">
        <v>485</v>
      </c>
      <c r="AX69" s="107"/>
      <c r="BC69" s="4" t="s">
        <v>10</v>
      </c>
      <c r="BF69" s="19" t="s">
        <v>231</v>
      </c>
      <c r="BL69" s="6" t="s">
        <v>69</v>
      </c>
      <c r="BO69" s="6" t="s">
        <v>231</v>
      </c>
      <c r="BR69" s="106" t="s">
        <v>573</v>
      </c>
      <c r="BS69" s="107"/>
      <c r="BU69" s="4" t="s">
        <v>561</v>
      </c>
      <c r="CD69" s="4" t="s">
        <v>614</v>
      </c>
      <c r="CH69" s="5" t="s">
        <v>315</v>
      </c>
      <c r="CJ69" s="4" t="s">
        <v>231</v>
      </c>
      <c r="CK69" s="5" t="s">
        <v>478</v>
      </c>
      <c r="CM69" s="4" t="s">
        <v>231</v>
      </c>
      <c r="CN69" s="4" t="s">
        <v>22</v>
      </c>
      <c r="CP69" s="106" t="s">
        <v>680</v>
      </c>
      <c r="CQ69" s="107"/>
      <c r="CS69" s="106" t="s">
        <v>692</v>
      </c>
      <c r="CT69" s="107"/>
      <c r="CV69" s="10" t="s">
        <v>231</v>
      </c>
      <c r="CW69" s="4" t="s">
        <v>628</v>
      </c>
      <c r="CY69" s="106" t="s">
        <v>717</v>
      </c>
      <c r="CZ69" s="107"/>
    </row>
    <row r="70" spans="7:107" x14ac:dyDescent="0.35">
      <c r="G70" s="11" t="s">
        <v>1</v>
      </c>
      <c r="H70" s="12" t="s">
        <v>2</v>
      </c>
      <c r="J70" s="4" t="s">
        <v>11</v>
      </c>
      <c r="Q70" s="25" t="s">
        <v>351</v>
      </c>
      <c r="S70" s="19" t="s">
        <v>34</v>
      </c>
      <c r="T70" s="19" t="s">
        <v>20</v>
      </c>
      <c r="V70" s="19" t="s">
        <v>34</v>
      </c>
      <c r="W70" s="35" t="s">
        <v>180</v>
      </c>
      <c r="AT70" s="4" t="s">
        <v>13</v>
      </c>
      <c r="AU70" s="4" t="s">
        <v>377</v>
      </c>
      <c r="AW70" s="3" t="s">
        <v>1</v>
      </c>
      <c r="AX70" s="2" t="s">
        <v>2</v>
      </c>
      <c r="BC70" s="4" t="s">
        <v>14</v>
      </c>
      <c r="BF70" s="4" t="s">
        <v>389</v>
      </c>
      <c r="BR70" s="2" t="s">
        <v>1</v>
      </c>
      <c r="BS70" s="3" t="s">
        <v>2</v>
      </c>
      <c r="CH70" s="6" t="s">
        <v>478</v>
      </c>
      <c r="CJ70" s="4" t="s">
        <v>231</v>
      </c>
      <c r="CK70" s="6" t="s">
        <v>487</v>
      </c>
      <c r="CM70" s="4" t="s">
        <v>231</v>
      </c>
      <c r="CN70" s="4" t="s">
        <v>22</v>
      </c>
      <c r="CP70" s="2" t="s">
        <v>1</v>
      </c>
      <c r="CQ70" s="3" t="s">
        <v>2</v>
      </c>
      <c r="CS70" s="2" t="s">
        <v>1</v>
      </c>
      <c r="CT70" s="3" t="s">
        <v>2</v>
      </c>
      <c r="CW70" s="6" t="s">
        <v>396</v>
      </c>
      <c r="CY70" s="2" t="s">
        <v>1</v>
      </c>
      <c r="CZ70" s="3" t="s">
        <v>2</v>
      </c>
    </row>
    <row r="71" spans="7:107" x14ac:dyDescent="0.35">
      <c r="G71" s="17" t="s">
        <v>71</v>
      </c>
      <c r="H71" s="6" t="s">
        <v>57</v>
      </c>
      <c r="J71" s="4" t="s">
        <v>48</v>
      </c>
      <c r="Q71" s="25" t="s">
        <v>351</v>
      </c>
      <c r="S71" s="19" t="s">
        <v>44</v>
      </c>
      <c r="T71" s="6" t="s">
        <v>22</v>
      </c>
      <c r="V71" s="10" t="s">
        <v>34</v>
      </c>
      <c r="W71" s="35" t="s">
        <v>23</v>
      </c>
      <c r="AT71" s="4" t="s">
        <v>358</v>
      </c>
      <c r="AU71" s="5" t="s">
        <v>466</v>
      </c>
      <c r="AW71" s="10" t="s">
        <v>479</v>
      </c>
      <c r="AX71" s="6" t="s">
        <v>12</v>
      </c>
      <c r="BF71" s="6" t="s">
        <v>482</v>
      </c>
      <c r="BL71" s="106" t="s">
        <v>549</v>
      </c>
      <c r="BM71" s="107"/>
      <c r="BR71" s="4" t="s">
        <v>231</v>
      </c>
      <c r="CJ71" s="4" t="s">
        <v>398</v>
      </c>
      <c r="CK71" s="4" t="s">
        <v>305</v>
      </c>
      <c r="CM71" s="4" t="s">
        <v>231</v>
      </c>
      <c r="CN71" s="6" t="s">
        <v>478</v>
      </c>
      <c r="CP71" s="4" t="s">
        <v>231</v>
      </c>
      <c r="CQ71" s="6" t="s">
        <v>10</v>
      </c>
      <c r="CS71" s="4" t="s">
        <v>231</v>
      </c>
      <c r="CT71" s="4" t="s">
        <v>305</v>
      </c>
      <c r="CW71" s="67" t="s">
        <v>628</v>
      </c>
      <c r="CY71" s="4" t="s">
        <v>629</v>
      </c>
    </row>
    <row r="72" spans="7:107" x14ac:dyDescent="0.35">
      <c r="G72" s="17" t="s">
        <v>48</v>
      </c>
      <c r="H72" s="6" t="s">
        <v>31</v>
      </c>
      <c r="J72" s="4" t="s">
        <v>11</v>
      </c>
      <c r="S72" s="19" t="s">
        <v>48</v>
      </c>
      <c r="T72" s="5" t="s">
        <v>51</v>
      </c>
      <c r="V72" s="19" t="s">
        <v>39</v>
      </c>
      <c r="AT72" s="4" t="s">
        <v>228</v>
      </c>
      <c r="AU72" s="4" t="s">
        <v>233</v>
      </c>
      <c r="AW72" s="4" t="s">
        <v>458</v>
      </c>
      <c r="AX72" s="4" t="s">
        <v>72</v>
      </c>
      <c r="BC72" s="106" t="s">
        <v>516</v>
      </c>
      <c r="BD72" s="107"/>
      <c r="BL72" s="2" t="s">
        <v>1</v>
      </c>
      <c r="BM72" s="3" t="s">
        <v>2</v>
      </c>
      <c r="BR72" s="4" t="s">
        <v>561</v>
      </c>
      <c r="CJ72" s="4" t="s">
        <v>231</v>
      </c>
      <c r="CK72" s="6" t="s">
        <v>20</v>
      </c>
      <c r="CM72" s="4" t="s">
        <v>231</v>
      </c>
      <c r="CN72" s="6" t="s">
        <v>233</v>
      </c>
      <c r="CS72" s="10" t="s">
        <v>231</v>
      </c>
      <c r="CT72" s="5" t="s">
        <v>20</v>
      </c>
      <c r="CV72" s="108" t="s">
        <v>707</v>
      </c>
      <c r="CW72" s="108"/>
      <c r="CY72" s="4" t="s">
        <v>231</v>
      </c>
    </row>
    <row r="73" spans="7:107" x14ac:dyDescent="0.35">
      <c r="H73" s="4" t="s">
        <v>20</v>
      </c>
      <c r="J73" s="4" t="s">
        <v>48</v>
      </c>
      <c r="P73" s="106" t="s">
        <v>155</v>
      </c>
      <c r="Q73" s="107"/>
      <c r="T73" s="6" t="s">
        <v>61</v>
      </c>
      <c r="AW73" s="6" t="s">
        <v>458</v>
      </c>
      <c r="AX73" s="10" t="s">
        <v>377</v>
      </c>
      <c r="BC73" s="2" t="s">
        <v>1</v>
      </c>
      <c r="BD73" s="3" t="s">
        <v>2</v>
      </c>
      <c r="BL73" s="16" t="s">
        <v>22</v>
      </c>
      <c r="BM73" s="19" t="s">
        <v>72</v>
      </c>
      <c r="BR73" s="10" t="s">
        <v>231</v>
      </c>
      <c r="CJ73" s="4" t="s">
        <v>231</v>
      </c>
      <c r="CK73" s="5" t="s">
        <v>377</v>
      </c>
      <c r="CP73" s="106" t="s">
        <v>681</v>
      </c>
      <c r="CQ73" s="107"/>
      <c r="CS73" s="4" t="s">
        <v>269</v>
      </c>
      <c r="CT73" s="6" t="s">
        <v>645</v>
      </c>
    </row>
    <row r="74" spans="7:107" x14ac:dyDescent="0.35">
      <c r="H74" s="5" t="s">
        <v>31</v>
      </c>
      <c r="J74" s="4" t="s">
        <v>11</v>
      </c>
      <c r="P74" s="2" t="s">
        <v>1</v>
      </c>
      <c r="Q74" s="3" t="s">
        <v>2</v>
      </c>
      <c r="V74" s="106" t="s">
        <v>187</v>
      </c>
      <c r="W74" s="107"/>
      <c r="AW74" s="108" t="s">
        <v>484</v>
      </c>
      <c r="AX74" s="108"/>
      <c r="BC74" s="19" t="s">
        <v>458</v>
      </c>
      <c r="BD74" s="25" t="s">
        <v>88</v>
      </c>
      <c r="BL74" s="4" t="s">
        <v>13</v>
      </c>
      <c r="CK74" s="6" t="s">
        <v>487</v>
      </c>
      <c r="CM74" s="106" t="s">
        <v>670</v>
      </c>
      <c r="CN74" s="107"/>
      <c r="CP74" s="2" t="s">
        <v>1</v>
      </c>
      <c r="CQ74" s="3" t="s">
        <v>2</v>
      </c>
      <c r="CS74" s="4" t="s">
        <v>389</v>
      </c>
      <c r="CT74" s="5" t="s">
        <v>478</v>
      </c>
      <c r="CV74" s="106" t="s">
        <v>708</v>
      </c>
      <c r="CW74" s="107"/>
      <c r="CY74" s="106" t="s">
        <v>718</v>
      </c>
      <c r="CZ74" s="107"/>
    </row>
    <row r="75" spans="7:107" x14ac:dyDescent="0.35">
      <c r="H75" s="6" t="s">
        <v>43</v>
      </c>
      <c r="P75" s="10" t="s">
        <v>10</v>
      </c>
      <c r="Q75" s="6" t="s">
        <v>143</v>
      </c>
      <c r="V75" s="11" t="s">
        <v>1</v>
      </c>
      <c r="W75" s="3" t="s">
        <v>2</v>
      </c>
      <c r="BC75" s="19" t="s">
        <v>13</v>
      </c>
      <c r="BD75" s="25" t="s">
        <v>88</v>
      </c>
      <c r="BL75" s="6" t="s">
        <v>268</v>
      </c>
      <c r="CK75" s="5" t="s">
        <v>487</v>
      </c>
      <c r="CM75" s="3" t="s">
        <v>1</v>
      </c>
      <c r="CN75" s="2" t="s">
        <v>2</v>
      </c>
      <c r="CP75" s="4" t="s">
        <v>69</v>
      </c>
      <c r="CQ75" s="6" t="s">
        <v>377</v>
      </c>
      <c r="CS75" s="5" t="s">
        <v>629</v>
      </c>
      <c r="CT75" s="6" t="s">
        <v>12</v>
      </c>
      <c r="CV75" s="3" t="s">
        <v>1</v>
      </c>
      <c r="CW75" s="2" t="s">
        <v>2</v>
      </c>
      <c r="CY75" s="2" t="s">
        <v>1</v>
      </c>
      <c r="CZ75" s="3" t="s">
        <v>2</v>
      </c>
    </row>
    <row r="76" spans="7:107" x14ac:dyDescent="0.35">
      <c r="J76" s="106" t="s">
        <v>101</v>
      </c>
      <c r="K76" s="107"/>
      <c r="P76" s="19" t="s">
        <v>72</v>
      </c>
      <c r="Q76" s="25" t="s">
        <v>156</v>
      </c>
      <c r="V76" s="19" t="s">
        <v>11</v>
      </c>
      <c r="W76" s="34" t="s">
        <v>21</v>
      </c>
      <c r="BC76" s="19" t="s">
        <v>458</v>
      </c>
      <c r="BD76" s="5" t="s">
        <v>88</v>
      </c>
      <c r="CM76" s="4" t="s">
        <v>269</v>
      </c>
      <c r="CN76" s="4" t="s">
        <v>20</v>
      </c>
      <c r="CP76" s="4" t="s">
        <v>231</v>
      </c>
      <c r="CQ76" s="6" t="s">
        <v>305</v>
      </c>
      <c r="CS76" s="6" t="s">
        <v>228</v>
      </c>
      <c r="CT76" s="4" t="s">
        <v>587</v>
      </c>
      <c r="CV76" s="4" t="s">
        <v>389</v>
      </c>
      <c r="CW76" s="6" t="s">
        <v>478</v>
      </c>
      <c r="CY76" s="4" t="s">
        <v>231</v>
      </c>
      <c r="CZ76" s="4" t="s">
        <v>628</v>
      </c>
    </row>
    <row r="77" spans="7:107" x14ac:dyDescent="0.35">
      <c r="J77" s="11" t="s">
        <v>1</v>
      </c>
      <c r="K77" s="12" t="s">
        <v>2</v>
      </c>
      <c r="P77" s="4" t="s">
        <v>48</v>
      </c>
      <c r="Q77" s="6" t="s">
        <v>21</v>
      </c>
      <c r="V77" s="16" t="s">
        <v>61</v>
      </c>
      <c r="W77" s="44" t="s">
        <v>351</v>
      </c>
      <c r="BC77" s="20" t="s">
        <v>389</v>
      </c>
      <c r="BD77" s="5" t="s">
        <v>20</v>
      </c>
      <c r="CN77" s="4" t="s">
        <v>22</v>
      </c>
      <c r="CS77" s="4" t="s">
        <v>458</v>
      </c>
      <c r="CW77" s="6" t="s">
        <v>487</v>
      </c>
      <c r="CY77" s="4" t="s">
        <v>231</v>
      </c>
      <c r="CZ77" s="4" t="s">
        <v>628</v>
      </c>
    </row>
    <row r="78" spans="7:107" x14ac:dyDescent="0.35">
      <c r="J78" s="4" t="s">
        <v>11</v>
      </c>
      <c r="K78" s="33" t="s">
        <v>64</v>
      </c>
      <c r="P78" s="10" t="s">
        <v>145</v>
      </c>
      <c r="Q78" s="5" t="s">
        <v>144</v>
      </c>
      <c r="W78" s="5" t="s">
        <v>43</v>
      </c>
      <c r="BC78" s="19" t="s">
        <v>10</v>
      </c>
      <c r="BD78" s="6" t="s">
        <v>275</v>
      </c>
      <c r="CP78" s="106" t="s">
        <v>682</v>
      </c>
      <c r="CQ78" s="107"/>
      <c r="CW78" s="4" t="s">
        <v>628</v>
      </c>
      <c r="CY78" s="4" t="s">
        <v>231</v>
      </c>
      <c r="CZ78" s="4" t="s">
        <v>628</v>
      </c>
    </row>
    <row r="79" spans="7:107" x14ac:dyDescent="0.35">
      <c r="J79" s="10" t="s">
        <v>48</v>
      </c>
      <c r="P79" s="4" t="s">
        <v>63</v>
      </c>
      <c r="BD79" s="6" t="s">
        <v>275</v>
      </c>
      <c r="CP79" s="2" t="s">
        <v>1</v>
      </c>
      <c r="CQ79" s="3" t="s">
        <v>2</v>
      </c>
      <c r="CS79" s="106" t="s">
        <v>693</v>
      </c>
      <c r="CT79" s="107"/>
      <c r="CW79" s="4" t="s">
        <v>628</v>
      </c>
      <c r="CY79" s="6" t="s">
        <v>69</v>
      </c>
      <c r="CZ79" s="6" t="s">
        <v>396</v>
      </c>
    </row>
    <row r="80" spans="7:107" x14ac:dyDescent="0.35">
      <c r="J80" s="4" t="s">
        <v>63</v>
      </c>
      <c r="P80" s="10" t="s">
        <v>48</v>
      </c>
      <c r="V80" s="106" t="s">
        <v>188</v>
      </c>
      <c r="W80" s="107"/>
      <c r="BD80" s="5" t="s">
        <v>275</v>
      </c>
      <c r="CP80" s="4" t="s">
        <v>231</v>
      </c>
      <c r="CQ80" s="6" t="s">
        <v>12</v>
      </c>
      <c r="CS80" s="2" t="s">
        <v>1</v>
      </c>
      <c r="CT80" s="3" t="s">
        <v>2</v>
      </c>
      <c r="CY80" s="6" t="s">
        <v>13</v>
      </c>
    </row>
    <row r="81" spans="10:103" x14ac:dyDescent="0.35">
      <c r="J81" s="4" t="s">
        <v>72</v>
      </c>
      <c r="P81" s="4" t="s">
        <v>71</v>
      </c>
      <c r="V81" s="11" t="s">
        <v>1</v>
      </c>
      <c r="W81" s="3" t="s">
        <v>2</v>
      </c>
      <c r="BD81" s="6" t="s">
        <v>233</v>
      </c>
      <c r="CQ81" s="6" t="s">
        <v>478</v>
      </c>
      <c r="CS81" s="4" t="s">
        <v>458</v>
      </c>
      <c r="CT81" s="6" t="s">
        <v>305</v>
      </c>
      <c r="CY81" s="16" t="s">
        <v>683</v>
      </c>
    </row>
    <row r="82" spans="10:103" x14ac:dyDescent="0.35">
      <c r="J82" s="6" t="s">
        <v>69</v>
      </c>
      <c r="V82" s="19" t="s">
        <v>48</v>
      </c>
      <c r="W82" s="35" t="s">
        <v>181</v>
      </c>
      <c r="BD82" s="6" t="s">
        <v>12</v>
      </c>
      <c r="CS82" s="4" t="s">
        <v>458</v>
      </c>
      <c r="CT82" s="4" t="s">
        <v>466</v>
      </c>
      <c r="CY82" s="4" t="s">
        <v>231</v>
      </c>
    </row>
    <row r="83" spans="10:103" x14ac:dyDescent="0.35">
      <c r="V83" s="19" t="s">
        <v>48</v>
      </c>
      <c r="W83" s="35" t="s">
        <v>156</v>
      </c>
      <c r="BD83" s="6" t="s">
        <v>12</v>
      </c>
      <c r="CS83" s="4" t="s">
        <v>269</v>
      </c>
      <c r="CT83" s="4" t="s">
        <v>628</v>
      </c>
    </row>
    <row r="84" spans="10:103" x14ac:dyDescent="0.35">
      <c r="V84" s="10" t="s">
        <v>48</v>
      </c>
      <c r="W84" s="35" t="s">
        <v>85</v>
      </c>
      <c r="BD84" s="5" t="s">
        <v>12</v>
      </c>
      <c r="CS84" s="10" t="s">
        <v>13</v>
      </c>
    </row>
    <row r="85" spans="10:103" x14ac:dyDescent="0.35">
      <c r="V85" s="19" t="s">
        <v>71</v>
      </c>
      <c r="W85" s="35" t="s">
        <v>21</v>
      </c>
      <c r="BD85" s="25" t="s">
        <v>396</v>
      </c>
    </row>
    <row r="86" spans="10:103" x14ac:dyDescent="0.35">
      <c r="V86" s="10" t="s">
        <v>87</v>
      </c>
      <c r="W86" s="35" t="s">
        <v>21</v>
      </c>
      <c r="CS86" s="106" t="s">
        <v>694</v>
      </c>
      <c r="CT86" s="107"/>
    </row>
    <row r="87" spans="10:103" x14ac:dyDescent="0.35">
      <c r="V87" s="19" t="s">
        <v>11</v>
      </c>
      <c r="W87" s="44" t="s">
        <v>21</v>
      </c>
      <c r="BC87" s="106" t="s">
        <v>517</v>
      </c>
      <c r="BD87" s="107"/>
      <c r="CS87" s="2" t="s">
        <v>1</v>
      </c>
      <c r="CT87" s="3" t="s">
        <v>2</v>
      </c>
    </row>
    <row r="88" spans="10:103" x14ac:dyDescent="0.35">
      <c r="V88" s="10" t="s">
        <v>34</v>
      </c>
      <c r="W88" s="36" t="s">
        <v>182</v>
      </c>
      <c r="BC88" s="2" t="s">
        <v>1</v>
      </c>
      <c r="BD88" s="3" t="s">
        <v>2</v>
      </c>
      <c r="CS88" s="6" t="s">
        <v>398</v>
      </c>
      <c r="CT88" s="6" t="s">
        <v>12</v>
      </c>
    </row>
    <row r="89" spans="10:103" x14ac:dyDescent="0.35">
      <c r="V89" s="19" t="s">
        <v>71</v>
      </c>
      <c r="W89" s="35" t="s">
        <v>351</v>
      </c>
      <c r="BC89" s="19" t="s">
        <v>13</v>
      </c>
      <c r="BD89" s="19" t="s">
        <v>305</v>
      </c>
      <c r="CS89" s="4" t="s">
        <v>231</v>
      </c>
      <c r="CT89" s="6" t="s">
        <v>20</v>
      </c>
    </row>
    <row r="90" spans="10:103" x14ac:dyDescent="0.35">
      <c r="V90" s="19" t="s">
        <v>350</v>
      </c>
      <c r="BC90" s="19" t="s">
        <v>231</v>
      </c>
      <c r="BD90" s="19" t="s">
        <v>305</v>
      </c>
      <c r="CS90" s="6" t="s">
        <v>458</v>
      </c>
      <c r="CT90" s="6" t="s">
        <v>396</v>
      </c>
    </row>
    <row r="91" spans="10:103" x14ac:dyDescent="0.35">
      <c r="V91" s="19" t="s">
        <v>34</v>
      </c>
      <c r="BC91" s="10" t="s">
        <v>458</v>
      </c>
      <c r="BD91" s="19" t="s">
        <v>377</v>
      </c>
      <c r="CS91" s="6" t="s">
        <v>398</v>
      </c>
      <c r="CT91" s="5" t="s">
        <v>22</v>
      </c>
    </row>
    <row r="92" spans="10:103" x14ac:dyDescent="0.35">
      <c r="V92" s="19" t="s">
        <v>50</v>
      </c>
      <c r="BC92" s="19" t="s">
        <v>264</v>
      </c>
      <c r="BD92" s="25" t="s">
        <v>46</v>
      </c>
      <c r="CS92" s="5" t="s">
        <v>398</v>
      </c>
      <c r="CT92" s="6" t="s">
        <v>20</v>
      </c>
    </row>
    <row r="93" spans="10:103" x14ac:dyDescent="0.35">
      <c r="BC93" s="19" t="s">
        <v>13</v>
      </c>
      <c r="BD93" s="25" t="s">
        <v>396</v>
      </c>
      <c r="CS93" s="4" t="s">
        <v>231</v>
      </c>
      <c r="CT93" s="5" t="s">
        <v>20</v>
      </c>
    </row>
    <row r="94" spans="10:103" x14ac:dyDescent="0.35">
      <c r="V94" s="106" t="s">
        <v>193</v>
      </c>
      <c r="W94" s="107"/>
      <c r="BC94" s="4" t="s">
        <v>264</v>
      </c>
      <c r="CS94" s="4" t="s">
        <v>629</v>
      </c>
      <c r="CT94" s="6" t="s">
        <v>628</v>
      </c>
    </row>
    <row r="95" spans="10:103" x14ac:dyDescent="0.35">
      <c r="V95" s="11" t="s">
        <v>1</v>
      </c>
      <c r="W95" s="3" t="s">
        <v>2</v>
      </c>
      <c r="BC95" s="4" t="s">
        <v>10</v>
      </c>
      <c r="CS95" s="4" t="s">
        <v>629</v>
      </c>
      <c r="CT95" s="6" t="s">
        <v>12</v>
      </c>
    </row>
    <row r="96" spans="10:103" x14ac:dyDescent="0.35">
      <c r="V96" s="20" t="s">
        <v>10</v>
      </c>
      <c r="W96" s="25" t="s">
        <v>64</v>
      </c>
      <c r="BC96" s="4" t="s">
        <v>389</v>
      </c>
      <c r="CT96" s="5" t="s">
        <v>12</v>
      </c>
    </row>
    <row r="97" spans="22:98" x14ac:dyDescent="0.35">
      <c r="V97" s="47" t="s">
        <v>71</v>
      </c>
      <c r="W97" s="25" t="s">
        <v>31</v>
      </c>
      <c r="BC97" s="6" t="s">
        <v>10</v>
      </c>
    </row>
    <row r="98" spans="22:98" x14ac:dyDescent="0.35">
      <c r="W98" s="6" t="s">
        <v>61</v>
      </c>
      <c r="CS98" s="106" t="s">
        <v>695</v>
      </c>
      <c r="CT98" s="107"/>
    </row>
    <row r="99" spans="22:98" x14ac:dyDescent="0.35">
      <c r="W99" s="6" t="s">
        <v>34</v>
      </c>
      <c r="CS99" s="2" t="s">
        <v>1</v>
      </c>
      <c r="CT99" s="3" t="s">
        <v>2</v>
      </c>
    </row>
    <row r="100" spans="22:98" x14ac:dyDescent="0.35">
      <c r="CS100" s="4" t="s">
        <v>231</v>
      </c>
      <c r="CT100" s="4" t="s">
        <v>628</v>
      </c>
    </row>
    <row r="101" spans="22:98" x14ac:dyDescent="0.35">
      <c r="CS101" s="4" t="s">
        <v>269</v>
      </c>
      <c r="CT101" s="6" t="s">
        <v>645</v>
      </c>
    </row>
    <row r="102" spans="22:98" x14ac:dyDescent="0.35">
      <c r="CS102" s="4" t="s">
        <v>389</v>
      </c>
      <c r="CT102" s="6" t="s">
        <v>315</v>
      </c>
    </row>
    <row r="103" spans="22:98" x14ac:dyDescent="0.35">
      <c r="CS103" s="4" t="s">
        <v>231</v>
      </c>
      <c r="CT103" s="5" t="s">
        <v>478</v>
      </c>
    </row>
  </sheetData>
  <mergeCells count="389">
    <mergeCell ref="DE1:DF1"/>
    <mergeCell ref="DE14:DF14"/>
    <mergeCell ref="CY62:CZ62"/>
    <mergeCell ref="CY69:CZ69"/>
    <mergeCell ref="CY74:CZ74"/>
    <mergeCell ref="DB9:DC9"/>
    <mergeCell ref="DB14:DC14"/>
    <mergeCell ref="DB16:DC16"/>
    <mergeCell ref="DB23:DC23"/>
    <mergeCell ref="DB31:DC31"/>
    <mergeCell ref="DB36:DC36"/>
    <mergeCell ref="DB46:DC46"/>
    <mergeCell ref="DB52:DC52"/>
    <mergeCell ref="DB60:DC60"/>
    <mergeCell ref="DB64:DC64"/>
    <mergeCell ref="DB1:DC1"/>
    <mergeCell ref="CY1:CZ1"/>
    <mergeCell ref="CY12:CZ12"/>
    <mergeCell ref="CY18:CZ18"/>
    <mergeCell ref="CY29:CZ29"/>
    <mergeCell ref="CY38:CZ38"/>
    <mergeCell ref="CY46:CZ46"/>
    <mergeCell ref="CY53:CZ53"/>
    <mergeCell ref="DE25:DF25"/>
    <mergeCell ref="CS79:CT79"/>
    <mergeCell ref="CS86:CT86"/>
    <mergeCell ref="CS98:CT98"/>
    <mergeCell ref="CV6:CW6"/>
    <mergeCell ref="CV13:CW13"/>
    <mergeCell ref="CV21:CW21"/>
    <mergeCell ref="CV29:CW29"/>
    <mergeCell ref="CV42:CW42"/>
    <mergeCell ref="CV51:CW51"/>
    <mergeCell ref="CV72:CW72"/>
    <mergeCell ref="CV74:CW74"/>
    <mergeCell ref="CV1:CW1"/>
    <mergeCell ref="CS1:CT1"/>
    <mergeCell ref="CS17:CT17"/>
    <mergeCell ref="CS29:CT29"/>
    <mergeCell ref="CS34:CT34"/>
    <mergeCell ref="CS43:CT43"/>
    <mergeCell ref="CS62:CT62"/>
    <mergeCell ref="CS69:CT69"/>
    <mergeCell ref="CP78:CQ78"/>
    <mergeCell ref="CV60:CW60"/>
    <mergeCell ref="CV65:CW65"/>
    <mergeCell ref="CM60:CN60"/>
    <mergeCell ref="CM67:CN67"/>
    <mergeCell ref="CM74:CN74"/>
    <mergeCell ref="CP1:CQ1"/>
    <mergeCell ref="CP9:CQ9"/>
    <mergeCell ref="CP22:CQ22"/>
    <mergeCell ref="CP31:CQ31"/>
    <mergeCell ref="CP38:CQ38"/>
    <mergeCell ref="CP50:CQ50"/>
    <mergeCell ref="CP58:CQ58"/>
    <mergeCell ref="CP69:CQ69"/>
    <mergeCell ref="CP73:CQ73"/>
    <mergeCell ref="CG27:CH27"/>
    <mergeCell ref="CG32:CH32"/>
    <mergeCell ref="CM10:CN10"/>
    <mergeCell ref="CM18:CN18"/>
    <mergeCell ref="CM24:CN24"/>
    <mergeCell ref="CM31:CN31"/>
    <mergeCell ref="CM42:CN42"/>
    <mergeCell ref="CM44:CN44"/>
    <mergeCell ref="CM53:CN53"/>
    <mergeCell ref="CD25:CE25"/>
    <mergeCell ref="CD32:CE32"/>
    <mergeCell ref="CD40:CE40"/>
    <mergeCell ref="CD51:CE51"/>
    <mergeCell ref="CJ66:CK66"/>
    <mergeCell ref="CM1:CN1"/>
    <mergeCell ref="CG38:CH38"/>
    <mergeCell ref="CG45:CH45"/>
    <mergeCell ref="CG54:CH54"/>
    <mergeCell ref="CG65:CH65"/>
    <mergeCell ref="CJ1:CK1"/>
    <mergeCell ref="CJ8:CK8"/>
    <mergeCell ref="CJ16:CK16"/>
    <mergeCell ref="CJ28:CK28"/>
    <mergeCell ref="CJ30:CK30"/>
    <mergeCell ref="CJ37:CK37"/>
    <mergeCell ref="CJ44:CK44"/>
    <mergeCell ref="CJ51:CK51"/>
    <mergeCell ref="CJ55:CK55"/>
    <mergeCell ref="CJ62:CK62"/>
    <mergeCell ref="CG5:CH5"/>
    <mergeCell ref="CG7:CH7"/>
    <mergeCell ref="CG12:CH12"/>
    <mergeCell ref="CG21:CH21"/>
    <mergeCell ref="BU44:BV44"/>
    <mergeCell ref="BU53:BV53"/>
    <mergeCell ref="BU60:BV60"/>
    <mergeCell ref="BU65:BV65"/>
    <mergeCell ref="CD64:CE64"/>
    <mergeCell ref="CG1:CH1"/>
    <mergeCell ref="BX1:BY1"/>
    <mergeCell ref="BX10:BY10"/>
    <mergeCell ref="CA51:CB51"/>
    <mergeCell ref="CA53:CB53"/>
    <mergeCell ref="CA62:CB62"/>
    <mergeCell ref="CD1:CE1"/>
    <mergeCell ref="CA1:CB1"/>
    <mergeCell ref="CA7:CB7"/>
    <mergeCell ref="CA12:CB12"/>
    <mergeCell ref="CA16:CB16"/>
    <mergeCell ref="CA18:CB18"/>
    <mergeCell ref="CA23:CB23"/>
    <mergeCell ref="CA28:CB28"/>
    <mergeCell ref="CA32:CB32"/>
    <mergeCell ref="CA40:CB40"/>
    <mergeCell ref="CD10:CE10"/>
    <mergeCell ref="CD16:CE16"/>
    <mergeCell ref="CD21:CE21"/>
    <mergeCell ref="BR1:BS1"/>
    <mergeCell ref="BU1:BV1"/>
    <mergeCell ref="BR7:BS7"/>
    <mergeCell ref="BR14:BS14"/>
    <mergeCell ref="BR20:BS20"/>
    <mergeCell ref="BR25:BS25"/>
    <mergeCell ref="BR27:BS27"/>
    <mergeCell ref="BR34:BS34"/>
    <mergeCell ref="BR42:BS42"/>
    <mergeCell ref="BU38:BV38"/>
    <mergeCell ref="AZ57:BA57"/>
    <mergeCell ref="BC63:BD63"/>
    <mergeCell ref="BI54:BJ54"/>
    <mergeCell ref="BI61:BJ61"/>
    <mergeCell ref="BL50:BM50"/>
    <mergeCell ref="BL57:BM57"/>
    <mergeCell ref="BL63:BM63"/>
    <mergeCell ref="BX16:BY16"/>
    <mergeCell ref="BX21:BY21"/>
    <mergeCell ref="BX26:BY26"/>
    <mergeCell ref="BX30:BY30"/>
    <mergeCell ref="BX32:BY32"/>
    <mergeCell ref="BX38:BY38"/>
    <mergeCell ref="BX44:BY44"/>
    <mergeCell ref="BX50:BY50"/>
    <mergeCell ref="BX58:BY58"/>
    <mergeCell ref="AZ49:BA49"/>
    <mergeCell ref="BI26:BJ26"/>
    <mergeCell ref="BI33:BJ33"/>
    <mergeCell ref="BI39:BJ39"/>
    <mergeCell ref="BI46:BJ46"/>
    <mergeCell ref="BC48:BD48"/>
    <mergeCell ref="BR51:BS51"/>
    <mergeCell ref="BR63:BS63"/>
    <mergeCell ref="AT66:AU66"/>
    <mergeCell ref="AW1:AX1"/>
    <mergeCell ref="AW5:AX5"/>
    <mergeCell ref="AW14:AX14"/>
    <mergeCell ref="AW20:AX20"/>
    <mergeCell ref="AT53:AU53"/>
    <mergeCell ref="AT59:AU59"/>
    <mergeCell ref="AW54:AX54"/>
    <mergeCell ref="AW63:AX63"/>
    <mergeCell ref="AW26:AX26"/>
    <mergeCell ref="AW38:AX38"/>
    <mergeCell ref="AW47:AX47"/>
    <mergeCell ref="DH1:DI1"/>
    <mergeCell ref="DH4:DI4"/>
    <mergeCell ref="AT1:AU1"/>
    <mergeCell ref="AT13:AU13"/>
    <mergeCell ref="AT19:AU19"/>
    <mergeCell ref="AT25:AU25"/>
    <mergeCell ref="AT31:AU31"/>
    <mergeCell ref="AT41:AU41"/>
    <mergeCell ref="AT47:AU47"/>
    <mergeCell ref="AZ31:BA31"/>
    <mergeCell ref="AZ36:BA36"/>
    <mergeCell ref="AZ42:BA42"/>
    <mergeCell ref="BC1:BD1"/>
    <mergeCell ref="BC12:BD12"/>
    <mergeCell ref="BC19:BD19"/>
    <mergeCell ref="BC28:BD28"/>
    <mergeCell ref="BC33:BD33"/>
    <mergeCell ref="BC39:BD39"/>
    <mergeCell ref="BC41:BD41"/>
    <mergeCell ref="BI1:BJ1"/>
    <mergeCell ref="BI8:BJ8"/>
    <mergeCell ref="BI15:BJ15"/>
    <mergeCell ref="BI21:BJ21"/>
    <mergeCell ref="BL39:BM39"/>
    <mergeCell ref="V94:W94"/>
    <mergeCell ref="Y1:Z1"/>
    <mergeCell ref="Y6:Z6"/>
    <mergeCell ref="Y12:Z12"/>
    <mergeCell ref="Y21:Z21"/>
    <mergeCell ref="V74:W74"/>
    <mergeCell ref="V80:W80"/>
    <mergeCell ref="Y34:Z34"/>
    <mergeCell ref="Y41:Z41"/>
    <mergeCell ref="Y47:Z47"/>
    <mergeCell ref="Y51:Z51"/>
    <mergeCell ref="Y53:Z53"/>
    <mergeCell ref="Y57:Z57"/>
    <mergeCell ref="Y63:Z63"/>
    <mergeCell ref="V1:W1"/>
    <mergeCell ref="V64:W64"/>
    <mergeCell ref="AE1:AF1"/>
    <mergeCell ref="AE37:AF37"/>
    <mergeCell ref="AK58:AL58"/>
    <mergeCell ref="AK63:AL63"/>
    <mergeCell ref="AH59:AI59"/>
    <mergeCell ref="AE41:AF41"/>
    <mergeCell ref="AE50:AF50"/>
    <mergeCell ref="AE56:AF56"/>
    <mergeCell ref="AH1:AI1"/>
    <mergeCell ref="AK1:AL1"/>
    <mergeCell ref="AH35:AI35"/>
    <mergeCell ref="AH43:AI43"/>
    <mergeCell ref="AH52:AI52"/>
    <mergeCell ref="AK7:AL7"/>
    <mergeCell ref="AK14:AL14"/>
    <mergeCell ref="AE9:AF9"/>
    <mergeCell ref="AE15:AF15"/>
    <mergeCell ref="AH8:AI8"/>
    <mergeCell ref="AH13:AI13"/>
    <mergeCell ref="M57:N57"/>
    <mergeCell ref="V16:W16"/>
    <mergeCell ref="V24:W24"/>
    <mergeCell ref="V31:W31"/>
    <mergeCell ref="V43:W43"/>
    <mergeCell ref="V51:W51"/>
    <mergeCell ref="AN22:AO22"/>
    <mergeCell ref="AN31:AO31"/>
    <mergeCell ref="AN38:AO38"/>
    <mergeCell ref="AN45:AO45"/>
    <mergeCell ref="P56:Q56"/>
    <mergeCell ref="AE20:AF20"/>
    <mergeCell ref="AE28:AF28"/>
    <mergeCell ref="AE33:AF33"/>
    <mergeCell ref="AE43:AF43"/>
    <mergeCell ref="AH17:AI17"/>
    <mergeCell ref="AH24:AI24"/>
    <mergeCell ref="AH29:AI29"/>
    <mergeCell ref="AK21:AL21"/>
    <mergeCell ref="AK30:AL30"/>
    <mergeCell ref="AK39:AL39"/>
    <mergeCell ref="AK45:AL45"/>
    <mergeCell ref="AK51:AL51"/>
    <mergeCell ref="A50:B50"/>
    <mergeCell ref="M1:N1"/>
    <mergeCell ref="M5:N5"/>
    <mergeCell ref="M11:N11"/>
    <mergeCell ref="M20:N20"/>
    <mergeCell ref="M25:N25"/>
    <mergeCell ref="M30:N30"/>
    <mergeCell ref="M36:N36"/>
    <mergeCell ref="M38:N38"/>
    <mergeCell ref="M44:N44"/>
    <mergeCell ref="M49:N49"/>
    <mergeCell ref="A1:B1"/>
    <mergeCell ref="A7:B7"/>
    <mergeCell ref="A9:B9"/>
    <mergeCell ref="A11:B11"/>
    <mergeCell ref="D8:E8"/>
    <mergeCell ref="G29:H29"/>
    <mergeCell ref="G36:H36"/>
    <mergeCell ref="G43:H43"/>
    <mergeCell ref="AB1:AC1"/>
    <mergeCell ref="AB7:AC7"/>
    <mergeCell ref="J76:K76"/>
    <mergeCell ref="G64:H64"/>
    <mergeCell ref="G69:H69"/>
    <mergeCell ref="D23:E23"/>
    <mergeCell ref="A34:B34"/>
    <mergeCell ref="A23:B23"/>
    <mergeCell ref="A28:B28"/>
    <mergeCell ref="A26:B26"/>
    <mergeCell ref="A38:B38"/>
    <mergeCell ref="A45:B45"/>
    <mergeCell ref="D63:E63"/>
    <mergeCell ref="G59:H59"/>
    <mergeCell ref="J1:K1"/>
    <mergeCell ref="J7:K7"/>
    <mergeCell ref="J16:K16"/>
    <mergeCell ref="J20:K20"/>
    <mergeCell ref="J33:K33"/>
    <mergeCell ref="J41:K41"/>
    <mergeCell ref="J48:K48"/>
    <mergeCell ref="J54:K54"/>
    <mergeCell ref="J67:K67"/>
    <mergeCell ref="G1:H1"/>
    <mergeCell ref="G51:H51"/>
    <mergeCell ref="D1:E1"/>
    <mergeCell ref="D36:E36"/>
    <mergeCell ref="D42:E42"/>
    <mergeCell ref="D50:E50"/>
    <mergeCell ref="D12:E12"/>
    <mergeCell ref="D18:E18"/>
    <mergeCell ref="D21:E21"/>
    <mergeCell ref="D29:E29"/>
    <mergeCell ref="A54:B54"/>
    <mergeCell ref="P73:Q73"/>
    <mergeCell ref="S1:T1"/>
    <mergeCell ref="S12:T12"/>
    <mergeCell ref="S19:T19"/>
    <mergeCell ref="S26:T26"/>
    <mergeCell ref="S28:T28"/>
    <mergeCell ref="S38:T38"/>
    <mergeCell ref="S44:T44"/>
    <mergeCell ref="S49:T49"/>
    <mergeCell ref="S55:T55"/>
    <mergeCell ref="P18:Q18"/>
    <mergeCell ref="P22:Q22"/>
    <mergeCell ref="P28:Q28"/>
    <mergeCell ref="P37:Q37"/>
    <mergeCell ref="P48:Q48"/>
    <mergeCell ref="P1:Q1"/>
    <mergeCell ref="P7:Q7"/>
    <mergeCell ref="P13:Q13"/>
    <mergeCell ref="S63:T63"/>
    <mergeCell ref="S67:T67"/>
    <mergeCell ref="D58:E58"/>
    <mergeCell ref="G12:H12"/>
    <mergeCell ref="G20:H20"/>
    <mergeCell ref="AB11:AC11"/>
    <mergeCell ref="AB19:AC19"/>
    <mergeCell ref="AB21:AC21"/>
    <mergeCell ref="AB27:AC27"/>
    <mergeCell ref="AB32:AC32"/>
    <mergeCell ref="AB37:AC37"/>
    <mergeCell ref="AB41:AC41"/>
    <mergeCell ref="AB47:AC47"/>
    <mergeCell ref="AB54:AC54"/>
    <mergeCell ref="AW69:AX69"/>
    <mergeCell ref="AW74:AX74"/>
    <mergeCell ref="AZ1:BA1"/>
    <mergeCell ref="AZ7:BA7"/>
    <mergeCell ref="AZ14:BA14"/>
    <mergeCell ref="AZ19:BA19"/>
    <mergeCell ref="AZ24:BA24"/>
    <mergeCell ref="AN59:AO59"/>
    <mergeCell ref="AN65:AO65"/>
    <mergeCell ref="AQ1:AR1"/>
    <mergeCell ref="AQ6:AR6"/>
    <mergeCell ref="AQ15:AR15"/>
    <mergeCell ref="AQ21:AR21"/>
    <mergeCell ref="AQ28:AR28"/>
    <mergeCell ref="AQ36:AR36"/>
    <mergeCell ref="AQ43:AR43"/>
    <mergeCell ref="AQ51:AR51"/>
    <mergeCell ref="AQ58:AR58"/>
    <mergeCell ref="AQ65:AR65"/>
    <mergeCell ref="AN1:AO1"/>
    <mergeCell ref="AN7:AO7"/>
    <mergeCell ref="AN17:AO17"/>
    <mergeCell ref="AN51:AO51"/>
    <mergeCell ref="AN5:AO5"/>
    <mergeCell ref="BC72:BD72"/>
    <mergeCell ref="BC87:BD87"/>
    <mergeCell ref="BF1:BG1"/>
    <mergeCell ref="BF9:BG9"/>
    <mergeCell ref="BF15:BG15"/>
    <mergeCell ref="BF21:BG21"/>
    <mergeCell ref="BF27:BG27"/>
    <mergeCell ref="BF31:BG31"/>
    <mergeCell ref="BF33:BG33"/>
    <mergeCell ref="BF42:BG42"/>
    <mergeCell ref="BF47:BG47"/>
    <mergeCell ref="BF56:BG56"/>
    <mergeCell ref="BF65:BG65"/>
    <mergeCell ref="CD59:CE59"/>
    <mergeCell ref="BL71:BM71"/>
    <mergeCell ref="BO1:BP1"/>
    <mergeCell ref="BO8:BP8"/>
    <mergeCell ref="BO14:BP14"/>
    <mergeCell ref="BO22:BP22"/>
    <mergeCell ref="BO27:BP27"/>
    <mergeCell ref="BO29:BP29"/>
    <mergeCell ref="BO40:BP40"/>
    <mergeCell ref="BO46:BP46"/>
    <mergeCell ref="BO53:BP53"/>
    <mergeCell ref="BO59:BP59"/>
    <mergeCell ref="BL1:BM1"/>
    <mergeCell ref="BL8:BM8"/>
    <mergeCell ref="BL17:BM17"/>
    <mergeCell ref="BL24:BM24"/>
    <mergeCell ref="BL30:BM30"/>
    <mergeCell ref="BO65:BP65"/>
    <mergeCell ref="BR69:BS69"/>
    <mergeCell ref="BU8:BV8"/>
    <mergeCell ref="BU15:BV15"/>
    <mergeCell ref="BU20:BV20"/>
    <mergeCell ref="BU22:BV22"/>
    <mergeCell ref="BU33:BV3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01"/>
  <sheetViews>
    <sheetView workbookViewId="0">
      <selection activeCell="M2" sqref="M2"/>
    </sheetView>
  </sheetViews>
  <sheetFormatPr defaultColWidth="8.81640625" defaultRowHeight="14.5" x14ac:dyDescent="0.35"/>
  <cols>
    <col min="1" max="1" width="7.453125" bestFit="1" customWidth="1"/>
    <col min="2" max="2" width="18.453125" bestFit="1" customWidth="1"/>
    <col min="3" max="3" width="4.6328125" style="73" bestFit="1" customWidth="1"/>
    <col min="4" max="4" width="5.6328125" bestFit="1" customWidth="1"/>
    <col min="5" max="5" width="8.453125" bestFit="1" customWidth="1"/>
    <col min="6" max="6" width="12.36328125" bestFit="1" customWidth="1"/>
    <col min="7" max="7" width="7" bestFit="1" customWidth="1"/>
    <col min="8" max="8" width="7.453125" bestFit="1" customWidth="1"/>
    <col min="9" max="9" width="4.453125" customWidth="1"/>
    <col min="10" max="10" width="12.453125" bestFit="1" customWidth="1"/>
    <col min="11" max="11" width="12" bestFit="1" customWidth="1"/>
    <col min="12" max="12" width="2.81640625" customWidth="1"/>
    <col min="13" max="13" width="8.6328125" bestFit="1" customWidth="1"/>
  </cols>
  <sheetData>
    <row r="1" spans="1:13" x14ac:dyDescent="0.35">
      <c r="A1" s="70" t="s">
        <v>457</v>
      </c>
      <c r="B1" s="8" t="s">
        <v>456</v>
      </c>
      <c r="C1" s="72" t="s">
        <v>455</v>
      </c>
      <c r="D1" s="8" t="s">
        <v>24</v>
      </c>
      <c r="E1" s="8" t="s">
        <v>49</v>
      </c>
      <c r="F1" s="22" t="s">
        <v>355</v>
      </c>
      <c r="G1" s="22" t="s">
        <v>189</v>
      </c>
      <c r="H1" s="70" t="s">
        <v>204</v>
      </c>
      <c r="I1" s="71"/>
      <c r="J1" s="7" t="s">
        <v>165</v>
      </c>
      <c r="K1" s="42" t="s">
        <v>166</v>
      </c>
      <c r="M1" s="22" t="s">
        <v>167</v>
      </c>
    </row>
    <row r="2" spans="1:13" x14ac:dyDescent="0.35">
      <c r="A2" s="41" t="s">
        <v>107</v>
      </c>
      <c r="B2" s="5" t="s">
        <v>48</v>
      </c>
      <c r="C2" s="95" t="s">
        <v>453</v>
      </c>
      <c r="D2" s="15">
        <v>347</v>
      </c>
      <c r="E2" s="15">
        <v>0</v>
      </c>
      <c r="F2" s="15">
        <v>15</v>
      </c>
      <c r="G2" s="15">
        <f>IFERROR($M$2-F2,0)</f>
        <v>347</v>
      </c>
      <c r="H2" s="41">
        <f>IFERROR(D2/G2,0)</f>
        <v>1</v>
      </c>
      <c r="I2" s="71"/>
      <c r="J2" s="22">
        <f>SUMIFS($D$2:$D$48,$C$2:$C$48,"spo")</f>
        <v>931</v>
      </c>
      <c r="K2" s="22">
        <f>SUMIFS($D$2:$D$48,$C$2:$C$48,"pal")</f>
        <v>408</v>
      </c>
      <c r="M2" s="22">
        <f>Jogos!$DH$4</f>
        <v>362</v>
      </c>
    </row>
    <row r="3" spans="1:13" x14ac:dyDescent="0.35">
      <c r="A3" s="41" t="s">
        <v>108</v>
      </c>
      <c r="B3" s="5" t="s">
        <v>13</v>
      </c>
      <c r="C3" s="95" t="s">
        <v>453</v>
      </c>
      <c r="D3" s="15">
        <v>105</v>
      </c>
      <c r="E3" s="15">
        <v>0</v>
      </c>
      <c r="F3" s="15">
        <v>0</v>
      </c>
      <c r="G3" s="15">
        <f t="shared" ref="G3:G66" si="0">IFERROR($M$2-F3,0)</f>
        <v>362</v>
      </c>
      <c r="H3" s="41">
        <f t="shared" ref="H3:H66" si="1">IFERROR(D3/G3,0)</f>
        <v>0.29005524861878451</v>
      </c>
      <c r="I3" s="71"/>
      <c r="J3" s="41">
        <f>J2/M2</f>
        <v>2.5718232044198897</v>
      </c>
      <c r="K3" s="41">
        <f>K2/M2</f>
        <v>1.1270718232044199</v>
      </c>
    </row>
    <row r="4" spans="1:13" x14ac:dyDescent="0.35">
      <c r="A4" s="41" t="s">
        <v>109</v>
      </c>
      <c r="B4" s="9" t="s">
        <v>372</v>
      </c>
      <c r="C4" s="96" t="s">
        <v>454</v>
      </c>
      <c r="D4" s="15">
        <v>91</v>
      </c>
      <c r="E4" s="15">
        <v>1</v>
      </c>
      <c r="F4" s="15">
        <v>138</v>
      </c>
      <c r="G4" s="15">
        <f t="shared" si="0"/>
        <v>224</v>
      </c>
      <c r="H4" s="41">
        <f t="shared" si="1"/>
        <v>0.40625</v>
      </c>
      <c r="I4" s="71"/>
    </row>
    <row r="5" spans="1:13" x14ac:dyDescent="0.35">
      <c r="A5" s="41" t="s">
        <v>110</v>
      </c>
      <c r="B5" s="5" t="s">
        <v>458</v>
      </c>
      <c r="C5" s="95" t="s">
        <v>453</v>
      </c>
      <c r="D5" s="15">
        <v>79</v>
      </c>
      <c r="E5" s="15">
        <v>0</v>
      </c>
      <c r="F5" s="15">
        <v>154</v>
      </c>
      <c r="G5" s="15">
        <f t="shared" si="0"/>
        <v>208</v>
      </c>
      <c r="H5" s="41">
        <f t="shared" si="1"/>
        <v>0.37980769230769229</v>
      </c>
      <c r="I5" s="71"/>
    </row>
    <row r="6" spans="1:13" x14ac:dyDescent="0.35">
      <c r="A6" s="41" t="s">
        <v>111</v>
      </c>
      <c r="B6" s="5" t="s">
        <v>71</v>
      </c>
      <c r="C6" s="95" t="s">
        <v>453</v>
      </c>
      <c r="D6" s="15">
        <v>64</v>
      </c>
      <c r="E6" s="15">
        <v>0</v>
      </c>
      <c r="F6" s="15">
        <v>0</v>
      </c>
      <c r="G6" s="15">
        <f t="shared" si="0"/>
        <v>362</v>
      </c>
      <c r="H6" s="41">
        <f t="shared" si="1"/>
        <v>0.17679558011049723</v>
      </c>
      <c r="I6" s="71"/>
    </row>
    <row r="7" spans="1:13" x14ac:dyDescent="0.35">
      <c r="A7" s="41" t="s">
        <v>112</v>
      </c>
      <c r="B7" s="5" t="s">
        <v>10</v>
      </c>
      <c r="C7" s="95" t="s">
        <v>453</v>
      </c>
      <c r="D7" s="15">
        <v>56</v>
      </c>
      <c r="E7" s="15">
        <v>0</v>
      </c>
      <c r="F7" s="15">
        <v>0</v>
      </c>
      <c r="G7" s="15">
        <f t="shared" si="0"/>
        <v>362</v>
      </c>
      <c r="H7" s="41">
        <f t="shared" si="1"/>
        <v>0.15469613259668508</v>
      </c>
      <c r="I7" s="71"/>
    </row>
    <row r="8" spans="1:13" x14ac:dyDescent="0.35">
      <c r="A8" s="41" t="s">
        <v>113</v>
      </c>
      <c r="B8" s="9" t="s">
        <v>244</v>
      </c>
      <c r="C8" s="96" t="s">
        <v>454</v>
      </c>
      <c r="D8" s="15">
        <v>50</v>
      </c>
      <c r="E8" s="15">
        <v>2</v>
      </c>
      <c r="F8" s="15">
        <v>86</v>
      </c>
      <c r="G8" s="15">
        <f t="shared" si="0"/>
        <v>276</v>
      </c>
      <c r="H8" s="41">
        <f t="shared" si="1"/>
        <v>0.18115942028985507</v>
      </c>
      <c r="I8" s="71"/>
    </row>
    <row r="9" spans="1:13" x14ac:dyDescent="0.35">
      <c r="A9" s="41" t="s">
        <v>114</v>
      </c>
      <c r="B9" s="5" t="s">
        <v>11</v>
      </c>
      <c r="C9" s="95" t="s">
        <v>453</v>
      </c>
      <c r="D9" s="15">
        <v>47</v>
      </c>
      <c r="E9" s="15">
        <v>0</v>
      </c>
      <c r="F9" s="15">
        <v>0</v>
      </c>
      <c r="G9" s="15">
        <f t="shared" si="0"/>
        <v>362</v>
      </c>
      <c r="H9" s="41">
        <f t="shared" si="1"/>
        <v>0.12983425414364641</v>
      </c>
      <c r="I9" s="71"/>
      <c r="J9" s="101" t="s">
        <v>399</v>
      </c>
    </row>
    <row r="10" spans="1:13" x14ac:dyDescent="0.35">
      <c r="A10" s="41" t="s">
        <v>115</v>
      </c>
      <c r="B10" s="9" t="s">
        <v>72</v>
      </c>
      <c r="C10" s="96" t="s">
        <v>454</v>
      </c>
      <c r="D10" s="15">
        <v>46</v>
      </c>
      <c r="E10" s="15">
        <v>0</v>
      </c>
      <c r="F10" s="15">
        <v>101</v>
      </c>
      <c r="G10" s="15">
        <f t="shared" si="0"/>
        <v>261</v>
      </c>
      <c r="H10" s="41">
        <f t="shared" si="1"/>
        <v>0.17624521072796934</v>
      </c>
      <c r="I10" s="71"/>
    </row>
    <row r="11" spans="1:13" x14ac:dyDescent="0.35">
      <c r="A11" s="41" t="s">
        <v>116</v>
      </c>
      <c r="B11" s="9" t="s">
        <v>20</v>
      </c>
      <c r="C11" s="96" t="s">
        <v>454</v>
      </c>
      <c r="D11" s="15">
        <v>40</v>
      </c>
      <c r="E11" s="15">
        <v>1</v>
      </c>
      <c r="F11" s="15">
        <v>0</v>
      </c>
      <c r="G11" s="15">
        <f t="shared" si="0"/>
        <v>362</v>
      </c>
      <c r="H11" s="41">
        <f t="shared" si="1"/>
        <v>0.11049723756906077</v>
      </c>
      <c r="I11" s="71"/>
    </row>
    <row r="12" spans="1:13" x14ac:dyDescent="0.35">
      <c r="A12" s="41" t="s">
        <v>117</v>
      </c>
      <c r="B12" s="5" t="s">
        <v>69</v>
      </c>
      <c r="C12" s="95" t="s">
        <v>453</v>
      </c>
      <c r="D12" s="15">
        <v>31</v>
      </c>
      <c r="E12" s="15">
        <v>1</v>
      </c>
      <c r="F12" s="15">
        <v>0</v>
      </c>
      <c r="G12" s="15">
        <f t="shared" si="0"/>
        <v>362</v>
      </c>
      <c r="H12" s="41">
        <f t="shared" si="1"/>
        <v>8.5635359116022103E-2</v>
      </c>
      <c r="I12" s="71"/>
    </row>
    <row r="13" spans="1:13" x14ac:dyDescent="0.35">
      <c r="A13" s="41" t="s">
        <v>118</v>
      </c>
      <c r="B13" s="9" t="s">
        <v>22</v>
      </c>
      <c r="C13" s="96" t="s">
        <v>454</v>
      </c>
      <c r="D13" s="15">
        <v>31</v>
      </c>
      <c r="E13" s="15">
        <v>1</v>
      </c>
      <c r="F13" s="15">
        <v>0</v>
      </c>
      <c r="G13" s="15">
        <f t="shared" si="0"/>
        <v>362</v>
      </c>
      <c r="H13" s="41">
        <f t="shared" si="1"/>
        <v>8.5635359116022103E-2</v>
      </c>
      <c r="I13" s="71"/>
    </row>
    <row r="14" spans="1:13" x14ac:dyDescent="0.35">
      <c r="A14" s="41" t="s">
        <v>119</v>
      </c>
      <c r="B14" s="9" t="s">
        <v>15</v>
      </c>
      <c r="C14" s="96" t="s">
        <v>454</v>
      </c>
      <c r="D14" s="15">
        <v>28</v>
      </c>
      <c r="E14" s="15">
        <v>0</v>
      </c>
      <c r="F14" s="15">
        <v>0</v>
      </c>
      <c r="G14" s="15">
        <f t="shared" si="0"/>
        <v>362</v>
      </c>
      <c r="H14" s="41">
        <f t="shared" si="1"/>
        <v>7.7348066298342538E-2</v>
      </c>
      <c r="I14" s="71"/>
    </row>
    <row r="15" spans="1:13" x14ac:dyDescent="0.35">
      <c r="A15" s="41" t="s">
        <v>120</v>
      </c>
      <c r="B15" s="9" t="s">
        <v>628</v>
      </c>
      <c r="C15" s="96" t="s">
        <v>454</v>
      </c>
      <c r="D15" s="15">
        <v>25</v>
      </c>
      <c r="E15" s="15">
        <v>0</v>
      </c>
      <c r="F15" s="15">
        <v>0</v>
      </c>
      <c r="G15" s="15">
        <f t="shared" si="0"/>
        <v>362</v>
      </c>
      <c r="H15" s="41">
        <f t="shared" si="1"/>
        <v>6.9060773480662987E-2</v>
      </c>
      <c r="I15" s="71"/>
    </row>
    <row r="16" spans="1:13" x14ac:dyDescent="0.35">
      <c r="A16" s="41" t="s">
        <v>121</v>
      </c>
      <c r="B16" s="9" t="s">
        <v>338</v>
      </c>
      <c r="C16" s="96" t="s">
        <v>454</v>
      </c>
      <c r="D16" s="15">
        <v>24</v>
      </c>
      <c r="E16" s="15">
        <v>1</v>
      </c>
      <c r="F16" s="15">
        <v>86</v>
      </c>
      <c r="G16" s="15">
        <f t="shared" si="0"/>
        <v>276</v>
      </c>
      <c r="H16" s="41">
        <f t="shared" si="1"/>
        <v>8.6956521739130432E-2</v>
      </c>
      <c r="I16" s="71"/>
    </row>
    <row r="17" spans="1:9" x14ac:dyDescent="0.35">
      <c r="A17" s="41" t="s">
        <v>122</v>
      </c>
      <c r="B17" s="5" t="s">
        <v>398</v>
      </c>
      <c r="C17" s="95" t="s">
        <v>453</v>
      </c>
      <c r="D17" s="15">
        <v>21</v>
      </c>
      <c r="E17" s="15">
        <v>0</v>
      </c>
      <c r="F17" s="15">
        <v>134</v>
      </c>
      <c r="G17" s="15">
        <f t="shared" si="0"/>
        <v>228</v>
      </c>
      <c r="H17" s="41">
        <f t="shared" si="1"/>
        <v>9.2105263157894732E-2</v>
      </c>
      <c r="I17" s="71"/>
    </row>
    <row r="18" spans="1:9" x14ac:dyDescent="0.35">
      <c r="A18" s="41" t="s">
        <v>123</v>
      </c>
      <c r="B18" s="5" t="s">
        <v>12</v>
      </c>
      <c r="C18" s="95" t="s">
        <v>453</v>
      </c>
      <c r="D18" s="15">
        <v>18</v>
      </c>
      <c r="E18" s="15">
        <v>0</v>
      </c>
      <c r="F18" s="15">
        <v>0</v>
      </c>
      <c r="G18" s="15">
        <f t="shared" si="0"/>
        <v>362</v>
      </c>
      <c r="H18" s="41">
        <f t="shared" si="1"/>
        <v>4.9723756906077346E-2</v>
      </c>
      <c r="I18" s="71"/>
    </row>
    <row r="19" spans="1:9" x14ac:dyDescent="0.35">
      <c r="A19" s="41" t="s">
        <v>124</v>
      </c>
      <c r="B19" s="5" t="s">
        <v>14</v>
      </c>
      <c r="C19" s="95" t="s">
        <v>453</v>
      </c>
      <c r="D19" s="15">
        <v>18</v>
      </c>
      <c r="E19" s="15">
        <v>0</v>
      </c>
      <c r="F19" s="15">
        <v>0</v>
      </c>
      <c r="G19" s="15">
        <f t="shared" si="0"/>
        <v>362</v>
      </c>
      <c r="H19" s="41">
        <f t="shared" si="1"/>
        <v>4.9723756906077346E-2</v>
      </c>
      <c r="I19" s="71"/>
    </row>
    <row r="20" spans="1:9" x14ac:dyDescent="0.35">
      <c r="A20" s="41" t="s">
        <v>125</v>
      </c>
      <c r="B20" s="9" t="s">
        <v>21</v>
      </c>
      <c r="C20" s="96" t="s">
        <v>454</v>
      </c>
      <c r="D20" s="15">
        <v>16</v>
      </c>
      <c r="E20" s="15">
        <v>3</v>
      </c>
      <c r="F20" s="15">
        <v>0</v>
      </c>
      <c r="G20" s="15">
        <f t="shared" si="0"/>
        <v>362</v>
      </c>
      <c r="H20" s="41">
        <f t="shared" si="1"/>
        <v>4.4198895027624308E-2</v>
      </c>
      <c r="I20" s="71"/>
    </row>
    <row r="21" spans="1:9" x14ac:dyDescent="0.35">
      <c r="A21" s="41" t="s">
        <v>126</v>
      </c>
      <c r="B21" s="5" t="s">
        <v>629</v>
      </c>
      <c r="C21" s="95" t="s">
        <v>453</v>
      </c>
      <c r="D21" s="15">
        <v>16</v>
      </c>
      <c r="E21" s="15">
        <v>0</v>
      </c>
      <c r="F21" s="15">
        <v>318</v>
      </c>
      <c r="G21" s="15">
        <f t="shared" si="0"/>
        <v>44</v>
      </c>
      <c r="H21" s="41">
        <f t="shared" si="1"/>
        <v>0.36363636363636365</v>
      </c>
      <c r="I21" s="71"/>
    </row>
    <row r="22" spans="1:9" x14ac:dyDescent="0.35">
      <c r="A22" s="41" t="s">
        <v>127</v>
      </c>
      <c r="B22" s="5" t="s">
        <v>228</v>
      </c>
      <c r="C22" s="95" t="s">
        <v>453</v>
      </c>
      <c r="D22" s="15">
        <v>15</v>
      </c>
      <c r="E22" s="15">
        <v>1</v>
      </c>
      <c r="F22" s="15">
        <v>86</v>
      </c>
      <c r="G22" s="15">
        <f t="shared" si="0"/>
        <v>276</v>
      </c>
      <c r="H22" s="41">
        <f t="shared" si="1"/>
        <v>5.434782608695652E-2</v>
      </c>
      <c r="I22" s="71"/>
    </row>
    <row r="23" spans="1:9" x14ac:dyDescent="0.35">
      <c r="A23" s="41" t="s">
        <v>128</v>
      </c>
      <c r="B23" s="5" t="s">
        <v>34</v>
      </c>
      <c r="C23" s="95" t="s">
        <v>453</v>
      </c>
      <c r="D23" s="15">
        <v>13</v>
      </c>
      <c r="E23" s="15">
        <v>0</v>
      </c>
      <c r="F23" s="15">
        <v>0</v>
      </c>
      <c r="G23" s="15">
        <f t="shared" si="0"/>
        <v>362</v>
      </c>
      <c r="H23" s="41">
        <f t="shared" si="1"/>
        <v>3.591160220994475E-2</v>
      </c>
      <c r="I23" s="71"/>
    </row>
    <row r="24" spans="1:9" x14ac:dyDescent="0.35">
      <c r="A24" s="41" t="s">
        <v>129</v>
      </c>
      <c r="B24" s="5" t="s">
        <v>87</v>
      </c>
      <c r="C24" s="95" t="s">
        <v>453</v>
      </c>
      <c r="D24" s="15">
        <v>13</v>
      </c>
      <c r="E24" s="15">
        <v>0</v>
      </c>
      <c r="F24" s="15">
        <v>0</v>
      </c>
      <c r="G24" s="15">
        <f t="shared" si="0"/>
        <v>362</v>
      </c>
      <c r="H24" s="41">
        <f t="shared" si="1"/>
        <v>3.591160220994475E-2</v>
      </c>
      <c r="I24" s="71"/>
    </row>
    <row r="25" spans="1:9" x14ac:dyDescent="0.35">
      <c r="A25" s="41" t="s">
        <v>130</v>
      </c>
      <c r="B25" s="5" t="s">
        <v>29</v>
      </c>
      <c r="C25" s="95" t="s">
        <v>453</v>
      </c>
      <c r="D25" s="15">
        <v>12</v>
      </c>
      <c r="E25" s="15">
        <v>1</v>
      </c>
      <c r="F25" s="15">
        <v>0</v>
      </c>
      <c r="G25" s="15">
        <f t="shared" si="0"/>
        <v>362</v>
      </c>
      <c r="H25" s="41">
        <f t="shared" si="1"/>
        <v>3.3149171270718231E-2</v>
      </c>
      <c r="I25" s="71"/>
    </row>
    <row r="26" spans="1:9" x14ac:dyDescent="0.35">
      <c r="A26" s="41" t="s">
        <v>131</v>
      </c>
      <c r="B26" s="5" t="s">
        <v>561</v>
      </c>
      <c r="C26" s="95" t="s">
        <v>453</v>
      </c>
      <c r="D26" s="15">
        <v>12</v>
      </c>
      <c r="E26" s="15">
        <v>0</v>
      </c>
      <c r="F26" s="15">
        <v>0</v>
      </c>
      <c r="G26" s="15">
        <f t="shared" si="0"/>
        <v>362</v>
      </c>
      <c r="H26" s="41">
        <f t="shared" si="1"/>
        <v>3.3149171270718231E-2</v>
      </c>
      <c r="I26" s="71"/>
    </row>
    <row r="27" spans="1:9" x14ac:dyDescent="0.35">
      <c r="A27" s="41" t="s">
        <v>132</v>
      </c>
      <c r="B27" s="5" t="s">
        <v>229</v>
      </c>
      <c r="C27" s="95" t="s">
        <v>453</v>
      </c>
      <c r="D27" s="15">
        <v>12</v>
      </c>
      <c r="E27" s="15">
        <v>0</v>
      </c>
      <c r="F27" s="15">
        <v>98</v>
      </c>
      <c r="G27" s="15">
        <f t="shared" si="0"/>
        <v>264</v>
      </c>
      <c r="H27" s="41">
        <f t="shared" si="1"/>
        <v>4.5454545454545456E-2</v>
      </c>
      <c r="I27" s="71"/>
    </row>
    <row r="28" spans="1:9" x14ac:dyDescent="0.35">
      <c r="A28" s="41" t="s">
        <v>133</v>
      </c>
      <c r="B28" s="9" t="s">
        <v>86</v>
      </c>
      <c r="C28" s="96" t="s">
        <v>454</v>
      </c>
      <c r="D28" s="15">
        <v>11</v>
      </c>
      <c r="E28" s="15">
        <v>0</v>
      </c>
      <c r="F28" s="15">
        <v>98</v>
      </c>
      <c r="G28" s="15">
        <f t="shared" si="0"/>
        <v>264</v>
      </c>
      <c r="H28" s="41">
        <f t="shared" si="1"/>
        <v>4.1666666666666664E-2</v>
      </c>
      <c r="I28" s="71"/>
    </row>
    <row r="29" spans="1:9" x14ac:dyDescent="0.35">
      <c r="A29" s="41" t="s">
        <v>142</v>
      </c>
      <c r="B29" s="9" t="s">
        <v>52</v>
      </c>
      <c r="C29" s="96" t="s">
        <v>454</v>
      </c>
      <c r="D29" s="15">
        <v>8</v>
      </c>
      <c r="E29" s="15">
        <v>0</v>
      </c>
      <c r="F29" s="15">
        <v>0</v>
      </c>
      <c r="G29" s="15">
        <f t="shared" si="0"/>
        <v>362</v>
      </c>
      <c r="H29" s="41">
        <f t="shared" si="1"/>
        <v>2.2099447513812154E-2</v>
      </c>
      <c r="I29" s="71"/>
    </row>
    <row r="30" spans="1:9" x14ac:dyDescent="0.35">
      <c r="A30" s="41" t="s">
        <v>168</v>
      </c>
      <c r="B30" s="5" t="s">
        <v>269</v>
      </c>
      <c r="C30" s="95" t="s">
        <v>453</v>
      </c>
      <c r="D30" s="15">
        <v>8</v>
      </c>
      <c r="E30" s="15">
        <v>0</v>
      </c>
      <c r="F30" s="15">
        <v>0</v>
      </c>
      <c r="G30" s="15">
        <f t="shared" si="0"/>
        <v>362</v>
      </c>
      <c r="H30" s="41">
        <f t="shared" si="1"/>
        <v>2.2099447513812154E-2</v>
      </c>
      <c r="I30" s="71"/>
    </row>
    <row r="31" spans="1:9" x14ac:dyDescent="0.35">
      <c r="A31" s="41" t="s">
        <v>374</v>
      </c>
      <c r="B31" s="5" t="s">
        <v>72</v>
      </c>
      <c r="C31" s="95" t="s">
        <v>453</v>
      </c>
      <c r="D31" s="15">
        <v>7</v>
      </c>
      <c r="E31" s="15">
        <v>0</v>
      </c>
      <c r="F31" s="15">
        <v>98</v>
      </c>
      <c r="G31" s="15">
        <f t="shared" si="0"/>
        <v>264</v>
      </c>
      <c r="H31" s="41">
        <f t="shared" si="1"/>
        <v>2.6515151515151516E-2</v>
      </c>
      <c r="I31" s="71"/>
    </row>
    <row r="32" spans="1:9" x14ac:dyDescent="0.35">
      <c r="A32" s="41" t="s">
        <v>183</v>
      </c>
      <c r="B32" s="5" t="s">
        <v>253</v>
      </c>
      <c r="C32" s="95" t="s">
        <v>453</v>
      </c>
      <c r="D32" s="15">
        <v>7</v>
      </c>
      <c r="E32" s="15">
        <v>0</v>
      </c>
      <c r="F32" s="15">
        <v>169</v>
      </c>
      <c r="G32" s="15">
        <f t="shared" si="0"/>
        <v>193</v>
      </c>
      <c r="H32" s="41">
        <f t="shared" si="1"/>
        <v>3.6269430051813469E-2</v>
      </c>
      <c r="I32" s="71"/>
    </row>
    <row r="33" spans="1:9" x14ac:dyDescent="0.35">
      <c r="A33" s="41" t="s">
        <v>191</v>
      </c>
      <c r="B33" s="5" t="s">
        <v>39</v>
      </c>
      <c r="C33" s="95" t="s">
        <v>453</v>
      </c>
      <c r="D33" s="15">
        <v>6</v>
      </c>
      <c r="E33" s="15">
        <v>0</v>
      </c>
      <c r="F33" s="15">
        <v>0</v>
      </c>
      <c r="G33" s="15">
        <f t="shared" si="0"/>
        <v>362</v>
      </c>
      <c r="H33" s="41">
        <f t="shared" si="1"/>
        <v>1.6574585635359115E-2</v>
      </c>
      <c r="I33" s="71"/>
    </row>
    <row r="34" spans="1:9" x14ac:dyDescent="0.35">
      <c r="A34" s="41" t="s">
        <v>192</v>
      </c>
      <c r="B34" s="5" t="s">
        <v>479</v>
      </c>
      <c r="C34" s="95" t="s">
        <v>453</v>
      </c>
      <c r="D34" s="15">
        <v>6</v>
      </c>
      <c r="E34" s="15">
        <v>0</v>
      </c>
      <c r="F34" s="15">
        <v>168</v>
      </c>
      <c r="G34" s="15">
        <f t="shared" si="0"/>
        <v>194</v>
      </c>
      <c r="H34" s="41">
        <f t="shared" si="1"/>
        <v>3.0927835051546393E-2</v>
      </c>
      <c r="I34" s="71"/>
    </row>
    <row r="35" spans="1:9" x14ac:dyDescent="0.35">
      <c r="A35" s="41" t="s">
        <v>202</v>
      </c>
      <c r="B35" s="9" t="s">
        <v>17</v>
      </c>
      <c r="C35" s="96" t="s">
        <v>454</v>
      </c>
      <c r="D35" s="15">
        <v>5</v>
      </c>
      <c r="E35" s="15">
        <v>0</v>
      </c>
      <c r="F35" s="15">
        <v>98</v>
      </c>
      <c r="G35" s="15">
        <f t="shared" si="0"/>
        <v>264</v>
      </c>
      <c r="H35" s="41">
        <f t="shared" si="1"/>
        <v>1.893939393939394E-2</v>
      </c>
      <c r="I35" s="71"/>
    </row>
    <row r="36" spans="1:9" x14ac:dyDescent="0.35">
      <c r="A36" s="41" t="s">
        <v>205</v>
      </c>
      <c r="B36" s="9" t="s">
        <v>57</v>
      </c>
      <c r="C36" s="96" t="s">
        <v>454</v>
      </c>
      <c r="D36" s="15">
        <v>5</v>
      </c>
      <c r="E36" s="15">
        <v>0</v>
      </c>
      <c r="F36" s="15">
        <v>98</v>
      </c>
      <c r="G36" s="15">
        <f t="shared" si="0"/>
        <v>264</v>
      </c>
      <c r="H36" s="41">
        <f t="shared" si="1"/>
        <v>1.893939393939394E-2</v>
      </c>
      <c r="I36" s="71"/>
    </row>
    <row r="37" spans="1:9" x14ac:dyDescent="0.35">
      <c r="A37" s="41" t="s">
        <v>226</v>
      </c>
      <c r="B37" s="9" t="s">
        <v>12</v>
      </c>
      <c r="C37" s="96" t="s">
        <v>454</v>
      </c>
      <c r="D37" s="15">
        <v>5</v>
      </c>
      <c r="E37" s="15">
        <v>3</v>
      </c>
      <c r="F37" s="15">
        <v>98</v>
      </c>
      <c r="G37" s="15">
        <f t="shared" si="0"/>
        <v>264</v>
      </c>
      <c r="H37" s="41">
        <f t="shared" si="1"/>
        <v>1.893939393939394E-2</v>
      </c>
      <c r="I37" s="71"/>
    </row>
    <row r="38" spans="1:9" x14ac:dyDescent="0.35">
      <c r="A38" s="41" t="s">
        <v>227</v>
      </c>
      <c r="B38" s="9" t="s">
        <v>478</v>
      </c>
      <c r="C38" s="96" t="s">
        <v>454</v>
      </c>
      <c r="D38" s="15">
        <v>5</v>
      </c>
      <c r="E38" s="15">
        <v>0</v>
      </c>
      <c r="F38" s="15">
        <v>168</v>
      </c>
      <c r="G38" s="15">
        <f t="shared" si="0"/>
        <v>194</v>
      </c>
      <c r="H38" s="41">
        <f t="shared" si="1"/>
        <v>2.5773195876288658E-2</v>
      </c>
      <c r="I38" s="71"/>
    </row>
    <row r="39" spans="1:9" x14ac:dyDescent="0.35">
      <c r="A39" s="41" t="s">
        <v>240</v>
      </c>
      <c r="B39" s="5" t="s">
        <v>63</v>
      </c>
      <c r="C39" s="95" t="s">
        <v>453</v>
      </c>
      <c r="D39" s="15">
        <v>4</v>
      </c>
      <c r="E39" s="15">
        <v>0</v>
      </c>
      <c r="F39" s="15">
        <v>98</v>
      </c>
      <c r="G39" s="15">
        <f t="shared" si="0"/>
        <v>264</v>
      </c>
      <c r="H39" s="41">
        <f t="shared" si="1"/>
        <v>1.5151515151515152E-2</v>
      </c>
      <c r="I39" s="71"/>
    </row>
    <row r="40" spans="1:9" x14ac:dyDescent="0.35">
      <c r="A40" s="41" t="s">
        <v>241</v>
      </c>
      <c r="B40" s="9" t="s">
        <v>589</v>
      </c>
      <c r="C40" s="96" t="s">
        <v>454</v>
      </c>
      <c r="D40" s="15">
        <v>4</v>
      </c>
      <c r="E40" s="15">
        <v>0</v>
      </c>
      <c r="F40" s="15">
        <v>0</v>
      </c>
      <c r="G40" s="15">
        <f t="shared" si="0"/>
        <v>362</v>
      </c>
      <c r="H40" s="41">
        <f t="shared" si="1"/>
        <v>1.1049723756906077E-2</v>
      </c>
      <c r="I40" s="71"/>
    </row>
    <row r="41" spans="1:9" x14ac:dyDescent="0.35">
      <c r="A41" s="41" t="s">
        <v>245</v>
      </c>
      <c r="B41" s="5" t="s">
        <v>264</v>
      </c>
      <c r="C41" s="95" t="s">
        <v>453</v>
      </c>
      <c r="D41" s="15">
        <v>4</v>
      </c>
      <c r="E41" s="15">
        <v>0</v>
      </c>
      <c r="F41" s="15">
        <v>154</v>
      </c>
      <c r="G41" s="15">
        <f t="shared" si="0"/>
        <v>208</v>
      </c>
      <c r="H41" s="41">
        <f t="shared" si="1"/>
        <v>1.9230769230769232E-2</v>
      </c>
      <c r="I41" s="71"/>
    </row>
    <row r="42" spans="1:9" x14ac:dyDescent="0.35">
      <c r="A42" s="41" t="s">
        <v>246</v>
      </c>
      <c r="B42" s="9" t="s">
        <v>587</v>
      </c>
      <c r="C42" s="96" t="s">
        <v>454</v>
      </c>
      <c r="D42" s="15">
        <v>4</v>
      </c>
      <c r="E42" s="15">
        <v>0</v>
      </c>
      <c r="F42" s="15">
        <v>0</v>
      </c>
      <c r="G42" s="15">
        <f t="shared" si="0"/>
        <v>362</v>
      </c>
      <c r="H42" s="41">
        <f t="shared" si="1"/>
        <v>1.1049723756906077E-2</v>
      </c>
      <c r="I42" s="71"/>
    </row>
    <row r="43" spans="1:9" x14ac:dyDescent="0.35">
      <c r="A43" s="41" t="s">
        <v>302</v>
      </c>
      <c r="B43" s="5" t="s">
        <v>500</v>
      </c>
      <c r="C43" s="95" t="s">
        <v>453</v>
      </c>
      <c r="D43" s="15">
        <v>4</v>
      </c>
      <c r="E43" s="15">
        <v>0</v>
      </c>
      <c r="F43" s="15">
        <v>0</v>
      </c>
      <c r="G43" s="15">
        <f t="shared" si="0"/>
        <v>362</v>
      </c>
      <c r="H43" s="41">
        <f t="shared" si="1"/>
        <v>1.1049723756906077E-2</v>
      </c>
      <c r="I43" s="71"/>
    </row>
    <row r="44" spans="1:9" x14ac:dyDescent="0.35">
      <c r="A44" s="41" t="s">
        <v>303</v>
      </c>
      <c r="B44" s="9" t="s">
        <v>62</v>
      </c>
      <c r="C44" s="96" t="s">
        <v>454</v>
      </c>
      <c r="D44" s="15">
        <v>4</v>
      </c>
      <c r="E44" s="15">
        <v>0</v>
      </c>
      <c r="F44" s="15">
        <v>0</v>
      </c>
      <c r="G44" s="15">
        <f t="shared" si="0"/>
        <v>362</v>
      </c>
      <c r="H44" s="41">
        <f t="shared" si="1"/>
        <v>1.1049723756906077E-2</v>
      </c>
      <c r="I44" s="71"/>
    </row>
    <row r="45" spans="1:9" x14ac:dyDescent="0.35">
      <c r="A45" s="41" t="s">
        <v>375</v>
      </c>
      <c r="B45" s="5" t="s">
        <v>40</v>
      </c>
      <c r="C45" s="95" t="s">
        <v>453</v>
      </c>
      <c r="D45" s="15">
        <v>3</v>
      </c>
      <c r="E45" s="15">
        <v>0</v>
      </c>
      <c r="F45" s="15">
        <v>98</v>
      </c>
      <c r="G45" s="15">
        <f t="shared" si="0"/>
        <v>264</v>
      </c>
      <c r="H45" s="41">
        <f t="shared" si="1"/>
        <v>1.1363636363636364E-2</v>
      </c>
      <c r="I45" s="71"/>
    </row>
    <row r="46" spans="1:9" x14ac:dyDescent="0.35">
      <c r="A46" s="41" t="s">
        <v>332</v>
      </c>
      <c r="B46" s="9" t="s">
        <v>38</v>
      </c>
      <c r="C46" s="96" t="s">
        <v>454</v>
      </c>
      <c r="D46" s="15">
        <v>3</v>
      </c>
      <c r="E46" s="15">
        <v>0</v>
      </c>
      <c r="F46" s="15">
        <v>98</v>
      </c>
      <c r="G46" s="15">
        <f t="shared" si="0"/>
        <v>264</v>
      </c>
      <c r="H46" s="41">
        <f t="shared" si="1"/>
        <v>1.1363636363636364E-2</v>
      </c>
      <c r="I46" s="71"/>
    </row>
    <row r="47" spans="1:9" x14ac:dyDescent="0.35">
      <c r="A47" s="41" t="s">
        <v>371</v>
      </c>
      <c r="B47" s="5" t="s">
        <v>258</v>
      </c>
      <c r="C47" s="95" t="s">
        <v>453</v>
      </c>
      <c r="D47" s="15">
        <v>3</v>
      </c>
      <c r="E47" s="15">
        <v>0</v>
      </c>
      <c r="F47" s="15">
        <v>0</v>
      </c>
      <c r="G47" s="15">
        <f t="shared" si="0"/>
        <v>362</v>
      </c>
      <c r="H47" s="41">
        <f t="shared" si="1"/>
        <v>8.2872928176795577E-3</v>
      </c>
      <c r="I47" s="71"/>
    </row>
    <row r="48" spans="1:9" x14ac:dyDescent="0.35">
      <c r="A48" s="41" t="s">
        <v>390</v>
      </c>
      <c r="B48" s="9" t="s">
        <v>51</v>
      </c>
      <c r="C48" s="96" t="s">
        <v>454</v>
      </c>
      <c r="D48" s="15">
        <v>3</v>
      </c>
      <c r="E48" s="15">
        <v>0</v>
      </c>
      <c r="F48" s="15">
        <v>0</v>
      </c>
      <c r="G48" s="15">
        <f t="shared" si="0"/>
        <v>362</v>
      </c>
      <c r="H48" s="41">
        <f t="shared" si="1"/>
        <v>8.2872928176795577E-3</v>
      </c>
      <c r="I48" s="71"/>
    </row>
    <row r="49" spans="1:8" x14ac:dyDescent="0.35">
      <c r="A49" s="41" t="s">
        <v>400</v>
      </c>
      <c r="B49" s="9" t="s">
        <v>35</v>
      </c>
      <c r="C49" s="96" t="s">
        <v>454</v>
      </c>
      <c r="D49" s="15">
        <v>3</v>
      </c>
      <c r="E49" s="15">
        <v>0</v>
      </c>
      <c r="F49" s="15">
        <v>0</v>
      </c>
      <c r="G49" s="15">
        <f t="shared" si="0"/>
        <v>362</v>
      </c>
      <c r="H49" s="41">
        <f t="shared" si="1"/>
        <v>8.2872928176795577E-3</v>
      </c>
    </row>
    <row r="50" spans="1:8" x14ac:dyDescent="0.35">
      <c r="A50" s="41" t="s">
        <v>401</v>
      </c>
      <c r="B50" s="5" t="s">
        <v>44</v>
      </c>
      <c r="C50" s="95" t="s">
        <v>453</v>
      </c>
      <c r="D50" s="15">
        <v>2</v>
      </c>
      <c r="E50" s="15">
        <v>0</v>
      </c>
      <c r="F50" s="15">
        <v>98</v>
      </c>
      <c r="G50" s="15">
        <f t="shared" si="0"/>
        <v>264</v>
      </c>
      <c r="H50" s="41">
        <f t="shared" si="1"/>
        <v>7.575757575757576E-3</v>
      </c>
    </row>
    <row r="51" spans="1:8" x14ac:dyDescent="0.35">
      <c r="A51" s="41" t="s">
        <v>402</v>
      </c>
      <c r="B51" s="5" t="s">
        <v>50</v>
      </c>
      <c r="C51" s="95" t="s">
        <v>453</v>
      </c>
      <c r="D51" s="15">
        <v>2</v>
      </c>
      <c r="E51" s="15">
        <v>0</v>
      </c>
      <c r="F51" s="15">
        <v>0</v>
      </c>
      <c r="G51" s="15">
        <f t="shared" si="0"/>
        <v>362</v>
      </c>
      <c r="H51" s="41">
        <f t="shared" si="1"/>
        <v>5.5248618784530384E-3</v>
      </c>
    </row>
    <row r="52" spans="1:8" x14ac:dyDescent="0.35">
      <c r="A52" s="41" t="s">
        <v>403</v>
      </c>
      <c r="B52" s="5" t="s">
        <v>30</v>
      </c>
      <c r="C52" s="95" t="s">
        <v>453</v>
      </c>
      <c r="D52" s="15">
        <v>2</v>
      </c>
      <c r="E52" s="15">
        <v>0</v>
      </c>
      <c r="F52" s="15">
        <v>98</v>
      </c>
      <c r="G52" s="15">
        <f t="shared" si="0"/>
        <v>264</v>
      </c>
      <c r="H52" s="41">
        <f t="shared" si="1"/>
        <v>7.575757575757576E-3</v>
      </c>
    </row>
    <row r="53" spans="1:8" x14ac:dyDescent="0.35">
      <c r="A53" s="41" t="s">
        <v>404</v>
      </c>
      <c r="B53" s="9" t="s">
        <v>46</v>
      </c>
      <c r="C53" s="96" t="s">
        <v>454</v>
      </c>
      <c r="D53" s="15">
        <v>2</v>
      </c>
      <c r="E53" s="15">
        <v>0</v>
      </c>
      <c r="F53" s="15">
        <v>0</v>
      </c>
      <c r="G53" s="15">
        <f t="shared" si="0"/>
        <v>362</v>
      </c>
      <c r="H53" s="41">
        <f t="shared" si="1"/>
        <v>5.5248618784530384E-3</v>
      </c>
    </row>
    <row r="54" spans="1:8" x14ac:dyDescent="0.35">
      <c r="A54" s="41" t="s">
        <v>405</v>
      </c>
      <c r="B54" s="5" t="s">
        <v>254</v>
      </c>
      <c r="C54" s="95" t="s">
        <v>453</v>
      </c>
      <c r="D54" s="15">
        <v>2</v>
      </c>
      <c r="E54" s="15">
        <v>0</v>
      </c>
      <c r="F54" s="15">
        <v>138</v>
      </c>
      <c r="G54" s="15">
        <f t="shared" si="0"/>
        <v>224</v>
      </c>
      <c r="H54" s="41">
        <f t="shared" si="1"/>
        <v>8.9285714285714281E-3</v>
      </c>
    </row>
    <row r="55" spans="1:8" x14ac:dyDescent="0.35">
      <c r="A55" s="41" t="s">
        <v>406</v>
      </c>
      <c r="B55" s="5" t="s">
        <v>614</v>
      </c>
      <c r="C55" s="95" t="s">
        <v>453</v>
      </c>
      <c r="D55" s="15">
        <v>2</v>
      </c>
      <c r="E55" s="15">
        <v>0</v>
      </c>
      <c r="F55" s="15">
        <v>0</v>
      </c>
      <c r="G55" s="15">
        <f t="shared" si="0"/>
        <v>362</v>
      </c>
      <c r="H55" s="41">
        <f t="shared" si="1"/>
        <v>5.5248618784530384E-3</v>
      </c>
    </row>
    <row r="56" spans="1:8" x14ac:dyDescent="0.35">
      <c r="A56" s="41" t="s">
        <v>407</v>
      </c>
      <c r="B56" s="9" t="s">
        <v>16</v>
      </c>
      <c r="C56" s="96" t="s">
        <v>454</v>
      </c>
      <c r="D56" s="15">
        <v>2</v>
      </c>
      <c r="E56" s="15">
        <v>0</v>
      </c>
      <c r="F56" s="15">
        <v>0</v>
      </c>
      <c r="G56" s="15">
        <f t="shared" si="0"/>
        <v>362</v>
      </c>
      <c r="H56" s="41">
        <f t="shared" si="1"/>
        <v>5.5248618784530384E-3</v>
      </c>
    </row>
    <row r="57" spans="1:8" x14ac:dyDescent="0.35">
      <c r="A57" s="41" t="s">
        <v>408</v>
      </c>
      <c r="B57" s="9" t="s">
        <v>360</v>
      </c>
      <c r="C57" s="96" t="s">
        <v>454</v>
      </c>
      <c r="D57" s="15">
        <v>2</v>
      </c>
      <c r="E57" s="15">
        <v>0</v>
      </c>
      <c r="F57" s="15">
        <v>335</v>
      </c>
      <c r="G57" s="15">
        <f t="shared" si="0"/>
        <v>27</v>
      </c>
      <c r="H57" s="41">
        <f t="shared" si="1"/>
        <v>7.407407407407407E-2</v>
      </c>
    </row>
    <row r="58" spans="1:8" x14ac:dyDescent="0.35">
      <c r="A58" s="41" t="s">
        <v>409</v>
      </c>
      <c r="B58" s="5" t="s">
        <v>588</v>
      </c>
      <c r="C58" s="95" t="s">
        <v>453</v>
      </c>
      <c r="D58" s="15">
        <v>2</v>
      </c>
      <c r="E58" s="15">
        <v>0</v>
      </c>
      <c r="F58" s="15">
        <v>0</v>
      </c>
      <c r="G58" s="15">
        <f t="shared" si="0"/>
        <v>362</v>
      </c>
      <c r="H58" s="41">
        <f t="shared" si="1"/>
        <v>5.5248618784530384E-3</v>
      </c>
    </row>
    <row r="59" spans="1:8" x14ac:dyDescent="0.35">
      <c r="A59" s="41" t="s">
        <v>410</v>
      </c>
      <c r="B59" s="9" t="s">
        <v>373</v>
      </c>
      <c r="C59" s="96" t="s">
        <v>454</v>
      </c>
      <c r="D59" s="15">
        <v>1</v>
      </c>
      <c r="E59" s="15">
        <v>0</v>
      </c>
      <c r="F59" s="15">
        <v>0</v>
      </c>
      <c r="G59" s="15">
        <f t="shared" si="0"/>
        <v>362</v>
      </c>
      <c r="H59" s="41">
        <f t="shared" si="1"/>
        <v>2.7624309392265192E-3</v>
      </c>
    </row>
    <row r="60" spans="1:8" x14ac:dyDescent="0.35">
      <c r="A60" s="41" t="s">
        <v>411</v>
      </c>
      <c r="B60" s="9" t="s">
        <v>43</v>
      </c>
      <c r="C60" s="96" t="s">
        <v>454</v>
      </c>
      <c r="D60" s="15">
        <v>1</v>
      </c>
      <c r="E60" s="15">
        <v>0</v>
      </c>
      <c r="F60" s="15">
        <v>0</v>
      </c>
      <c r="G60" s="15">
        <f t="shared" si="0"/>
        <v>362</v>
      </c>
      <c r="H60" s="41">
        <f t="shared" si="1"/>
        <v>2.7624309392265192E-3</v>
      </c>
    </row>
    <row r="61" spans="1:8" x14ac:dyDescent="0.35">
      <c r="A61" s="41" t="s">
        <v>412</v>
      </c>
      <c r="B61" s="9" t="s">
        <v>73</v>
      </c>
      <c r="C61" s="96" t="s">
        <v>454</v>
      </c>
      <c r="D61" s="15">
        <v>1</v>
      </c>
      <c r="E61" s="15">
        <v>0</v>
      </c>
      <c r="F61" s="15">
        <v>98</v>
      </c>
      <c r="G61" s="15">
        <f t="shared" si="0"/>
        <v>264</v>
      </c>
      <c r="H61" s="41">
        <f t="shared" si="1"/>
        <v>3.787878787878788E-3</v>
      </c>
    </row>
    <row r="62" spans="1:8" x14ac:dyDescent="0.35">
      <c r="A62" s="41" t="s">
        <v>413</v>
      </c>
      <c r="B62" s="5" t="s">
        <v>248</v>
      </c>
      <c r="C62" s="95" t="s">
        <v>453</v>
      </c>
      <c r="D62" s="15">
        <v>1</v>
      </c>
      <c r="E62" s="15">
        <v>0</v>
      </c>
      <c r="F62" s="15">
        <v>86</v>
      </c>
      <c r="G62" s="15">
        <f t="shared" si="0"/>
        <v>276</v>
      </c>
      <c r="H62" s="41">
        <f t="shared" si="1"/>
        <v>3.6231884057971015E-3</v>
      </c>
    </row>
    <row r="63" spans="1:8" x14ac:dyDescent="0.35">
      <c r="A63" s="41" t="s">
        <v>414</v>
      </c>
      <c r="B63" s="9" t="s">
        <v>88</v>
      </c>
      <c r="C63" s="96" t="s">
        <v>454</v>
      </c>
      <c r="D63" s="15">
        <v>1</v>
      </c>
      <c r="E63" s="15">
        <v>0</v>
      </c>
      <c r="F63" s="15">
        <v>0</v>
      </c>
      <c r="G63" s="15">
        <v>231</v>
      </c>
      <c r="H63" s="41">
        <f t="shared" si="1"/>
        <v>4.329004329004329E-3</v>
      </c>
    </row>
    <row r="64" spans="1:8" x14ac:dyDescent="0.35">
      <c r="A64" s="41" t="s">
        <v>415</v>
      </c>
      <c r="B64" s="9" t="s">
        <v>275</v>
      </c>
      <c r="C64" s="96" t="s">
        <v>454</v>
      </c>
      <c r="D64" s="15">
        <v>1</v>
      </c>
      <c r="E64" s="15">
        <v>1</v>
      </c>
      <c r="F64" s="15">
        <v>0</v>
      </c>
      <c r="G64" s="15">
        <f t="shared" si="0"/>
        <v>362</v>
      </c>
      <c r="H64" s="41">
        <f t="shared" si="1"/>
        <v>2.7624309392265192E-3</v>
      </c>
    </row>
    <row r="65" spans="1:8" x14ac:dyDescent="0.35">
      <c r="A65" s="41" t="s">
        <v>416</v>
      </c>
      <c r="B65" s="5" t="s">
        <v>494</v>
      </c>
      <c r="C65" s="95" t="s">
        <v>453</v>
      </c>
      <c r="D65" s="15">
        <v>1</v>
      </c>
      <c r="E65" s="15">
        <v>0</v>
      </c>
      <c r="F65" s="15">
        <v>0</v>
      </c>
      <c r="G65" s="15">
        <f t="shared" si="0"/>
        <v>362</v>
      </c>
      <c r="H65" s="41">
        <f t="shared" si="1"/>
        <v>2.7624309392265192E-3</v>
      </c>
    </row>
    <row r="66" spans="1:8" x14ac:dyDescent="0.35">
      <c r="A66" s="41" t="s">
        <v>417</v>
      </c>
      <c r="B66" s="9" t="s">
        <v>10</v>
      </c>
      <c r="C66" s="96" t="s">
        <v>454</v>
      </c>
      <c r="D66" s="15">
        <v>1</v>
      </c>
      <c r="E66" s="15">
        <v>0</v>
      </c>
      <c r="F66" s="15">
        <v>0</v>
      </c>
      <c r="G66" s="15">
        <f t="shared" si="0"/>
        <v>362</v>
      </c>
      <c r="H66" s="41">
        <f t="shared" si="1"/>
        <v>2.7624309392265192E-3</v>
      </c>
    </row>
    <row r="67" spans="1:8" x14ac:dyDescent="0.35">
      <c r="A67" s="41" t="s">
        <v>418</v>
      </c>
      <c r="B67" s="9" t="s">
        <v>356</v>
      </c>
      <c r="C67" s="96" t="s">
        <v>454</v>
      </c>
      <c r="D67" s="15">
        <v>1</v>
      </c>
      <c r="E67" s="15">
        <v>0</v>
      </c>
      <c r="F67" s="15">
        <v>335</v>
      </c>
      <c r="G67" s="15">
        <f t="shared" ref="G67:G101" si="2">IFERROR($M$2-F67,0)</f>
        <v>27</v>
      </c>
      <c r="H67" s="41">
        <f t="shared" ref="H67:H101" si="3">IFERROR(D67/G67,0)</f>
        <v>3.7037037037037035E-2</v>
      </c>
    </row>
    <row r="68" spans="1:8" x14ac:dyDescent="0.35">
      <c r="A68" s="41" t="s">
        <v>419</v>
      </c>
      <c r="B68" s="9" t="s">
        <v>627</v>
      </c>
      <c r="C68" s="96" t="s">
        <v>454</v>
      </c>
      <c r="D68" s="15">
        <v>1</v>
      </c>
      <c r="E68" s="15">
        <v>0</v>
      </c>
      <c r="F68" s="15">
        <v>335</v>
      </c>
      <c r="G68" s="15">
        <f t="shared" si="2"/>
        <v>27</v>
      </c>
      <c r="H68" s="41">
        <f t="shared" si="3"/>
        <v>3.7037037037037035E-2</v>
      </c>
    </row>
    <row r="69" spans="1:8" x14ac:dyDescent="0.35">
      <c r="A69" s="41" t="s">
        <v>420</v>
      </c>
      <c r="B69" s="5" t="s">
        <v>685</v>
      </c>
      <c r="C69" s="95" t="s">
        <v>453</v>
      </c>
      <c r="D69" s="15">
        <v>1</v>
      </c>
      <c r="E69" s="15">
        <v>0</v>
      </c>
      <c r="F69" s="15">
        <v>360</v>
      </c>
      <c r="G69" s="15">
        <f t="shared" si="2"/>
        <v>2</v>
      </c>
      <c r="H69" s="41">
        <f t="shared" si="3"/>
        <v>0.5</v>
      </c>
    </row>
    <row r="70" spans="1:8" x14ac:dyDescent="0.35">
      <c r="A70" s="41" t="s">
        <v>421</v>
      </c>
      <c r="B70" s="9" t="s">
        <v>61</v>
      </c>
      <c r="C70" s="96" t="s">
        <v>454</v>
      </c>
      <c r="D70" s="15">
        <v>0</v>
      </c>
      <c r="E70" s="15">
        <v>1</v>
      </c>
      <c r="F70" s="15">
        <v>98</v>
      </c>
      <c r="G70" s="15">
        <f t="shared" si="2"/>
        <v>264</v>
      </c>
      <c r="H70" s="41">
        <f t="shared" si="3"/>
        <v>0</v>
      </c>
    </row>
    <row r="71" spans="1:8" x14ac:dyDescent="0.35">
      <c r="A71" s="41" t="s">
        <v>422</v>
      </c>
      <c r="B71" s="9" t="s">
        <v>31</v>
      </c>
      <c r="C71" s="96" t="s">
        <v>454</v>
      </c>
      <c r="D71" s="15">
        <v>0</v>
      </c>
      <c r="E71" s="15">
        <v>1</v>
      </c>
      <c r="F71" s="15">
        <v>98</v>
      </c>
      <c r="G71" s="15">
        <f t="shared" si="2"/>
        <v>264</v>
      </c>
      <c r="H71" s="41">
        <f t="shared" si="3"/>
        <v>0</v>
      </c>
    </row>
    <row r="72" spans="1:8" x14ac:dyDescent="0.35">
      <c r="A72" s="41" t="s">
        <v>423</v>
      </c>
      <c r="B72" s="9" t="s">
        <v>190</v>
      </c>
      <c r="C72" s="96" t="s">
        <v>454</v>
      </c>
      <c r="D72" s="15">
        <v>0</v>
      </c>
      <c r="E72" s="15">
        <v>1</v>
      </c>
      <c r="F72" s="15">
        <v>0</v>
      </c>
      <c r="G72" s="15">
        <f t="shared" si="2"/>
        <v>362</v>
      </c>
      <c r="H72" s="41">
        <f t="shared" si="3"/>
        <v>0</v>
      </c>
    </row>
    <row r="73" spans="1:8" x14ac:dyDescent="0.35">
      <c r="A73" s="41" t="s">
        <v>424</v>
      </c>
      <c r="B73" s="9" t="s">
        <v>64</v>
      </c>
      <c r="C73" s="96" t="s">
        <v>454</v>
      </c>
      <c r="D73" s="15">
        <v>0</v>
      </c>
      <c r="E73" s="15">
        <v>1</v>
      </c>
      <c r="F73" s="15">
        <v>86</v>
      </c>
      <c r="G73" s="15">
        <f t="shared" si="2"/>
        <v>276</v>
      </c>
      <c r="H73" s="41">
        <f t="shared" si="3"/>
        <v>0</v>
      </c>
    </row>
    <row r="74" spans="1:8" x14ac:dyDescent="0.35">
      <c r="A74" s="41" t="s">
        <v>425</v>
      </c>
      <c r="B74" s="5" t="s">
        <v>285</v>
      </c>
      <c r="C74" s="95" t="s">
        <v>453</v>
      </c>
      <c r="D74" s="15">
        <v>0</v>
      </c>
      <c r="E74" s="15">
        <v>1</v>
      </c>
      <c r="F74" s="15">
        <v>154</v>
      </c>
      <c r="G74" s="15">
        <f t="shared" si="2"/>
        <v>208</v>
      </c>
      <c r="H74" s="41">
        <f t="shared" si="3"/>
        <v>0</v>
      </c>
    </row>
    <row r="75" spans="1:8" x14ac:dyDescent="0.35">
      <c r="A75" s="41" t="s">
        <v>426</v>
      </c>
      <c r="B75" s="5" t="s">
        <v>268</v>
      </c>
      <c r="C75" s="95" t="s">
        <v>453</v>
      </c>
      <c r="D75" s="15">
        <v>0</v>
      </c>
      <c r="E75" s="15">
        <v>1</v>
      </c>
      <c r="F75" s="15">
        <v>168</v>
      </c>
      <c r="G75" s="15">
        <f t="shared" si="2"/>
        <v>194</v>
      </c>
      <c r="H75" s="41">
        <f t="shared" si="3"/>
        <v>0</v>
      </c>
    </row>
    <row r="76" spans="1:8" x14ac:dyDescent="0.35">
      <c r="A76" s="41" t="s">
        <v>427</v>
      </c>
      <c r="B76" s="9" t="s">
        <v>499</v>
      </c>
      <c r="C76" s="96" t="s">
        <v>454</v>
      </c>
      <c r="D76" s="15">
        <v>0</v>
      </c>
      <c r="E76" s="15">
        <v>4</v>
      </c>
      <c r="F76" s="15">
        <v>125</v>
      </c>
      <c r="G76" s="15">
        <f t="shared" si="2"/>
        <v>237</v>
      </c>
      <c r="H76" s="41">
        <f t="shared" si="3"/>
        <v>0</v>
      </c>
    </row>
    <row r="77" spans="1:8" x14ac:dyDescent="0.35">
      <c r="A77" s="41" t="s">
        <v>428</v>
      </c>
      <c r="B77" s="9" t="s">
        <v>270</v>
      </c>
      <c r="C77" s="96" t="s">
        <v>454</v>
      </c>
      <c r="D77" s="15">
        <v>0</v>
      </c>
      <c r="E77" s="15">
        <v>3</v>
      </c>
      <c r="F77" s="15">
        <v>0</v>
      </c>
      <c r="G77" s="15">
        <f t="shared" si="2"/>
        <v>362</v>
      </c>
      <c r="H77" s="41">
        <f t="shared" si="3"/>
        <v>0</v>
      </c>
    </row>
    <row r="78" spans="1:8" x14ac:dyDescent="0.35">
      <c r="A78" s="41" t="s">
        <v>429</v>
      </c>
      <c r="B78" s="5" t="s">
        <v>626</v>
      </c>
      <c r="C78" s="95" t="s">
        <v>453</v>
      </c>
      <c r="D78" s="15">
        <v>0</v>
      </c>
      <c r="E78" s="15">
        <v>1</v>
      </c>
      <c r="F78" s="15">
        <v>0</v>
      </c>
      <c r="G78" s="15">
        <f t="shared" si="2"/>
        <v>362</v>
      </c>
      <c r="H78" s="41">
        <f t="shared" si="3"/>
        <v>0</v>
      </c>
    </row>
    <row r="79" spans="1:8" x14ac:dyDescent="0.35">
      <c r="A79" s="41" t="s">
        <v>430</v>
      </c>
      <c r="B79" s="9" t="s">
        <v>274</v>
      </c>
      <c r="C79" s="96" t="s">
        <v>454</v>
      </c>
      <c r="D79" s="15">
        <v>0</v>
      </c>
      <c r="E79" s="15">
        <v>7</v>
      </c>
      <c r="F79" s="15">
        <v>0</v>
      </c>
      <c r="G79" s="15">
        <f t="shared" si="2"/>
        <v>362</v>
      </c>
      <c r="H79" s="41">
        <f t="shared" si="3"/>
        <v>0</v>
      </c>
    </row>
    <row r="80" spans="1:8" x14ac:dyDescent="0.35">
      <c r="A80" s="41" t="s">
        <v>431</v>
      </c>
      <c r="B80" s="9" t="s">
        <v>683</v>
      </c>
      <c r="C80" s="96" t="s">
        <v>454</v>
      </c>
      <c r="D80" s="15">
        <v>0</v>
      </c>
      <c r="E80" s="15">
        <v>1</v>
      </c>
      <c r="F80" s="15">
        <v>0</v>
      </c>
      <c r="G80" s="15">
        <f t="shared" si="2"/>
        <v>362</v>
      </c>
      <c r="H80" s="41">
        <f t="shared" si="3"/>
        <v>0</v>
      </c>
    </row>
    <row r="81" spans="1:8" x14ac:dyDescent="0.35">
      <c r="A81" s="41" t="s">
        <v>432</v>
      </c>
      <c r="B81" s="4"/>
      <c r="C81" s="97"/>
      <c r="D81" s="15">
        <v>0</v>
      </c>
      <c r="E81" s="15" t="s">
        <v>399</v>
      </c>
      <c r="F81" s="15" t="s">
        <v>399</v>
      </c>
      <c r="G81" s="15">
        <f t="shared" si="2"/>
        <v>0</v>
      </c>
      <c r="H81" s="41">
        <f t="shared" si="3"/>
        <v>0</v>
      </c>
    </row>
    <row r="82" spans="1:8" x14ac:dyDescent="0.35">
      <c r="A82" s="41" t="s">
        <v>433</v>
      </c>
      <c r="B82" s="4"/>
      <c r="C82" s="97"/>
      <c r="D82" s="15">
        <v>0</v>
      </c>
      <c r="E82" s="15" t="s">
        <v>399</v>
      </c>
      <c r="F82" s="15" t="s">
        <v>399</v>
      </c>
      <c r="G82" s="15">
        <f t="shared" si="2"/>
        <v>0</v>
      </c>
      <c r="H82" s="41">
        <f t="shared" si="3"/>
        <v>0</v>
      </c>
    </row>
    <row r="83" spans="1:8" x14ac:dyDescent="0.35">
      <c r="A83" s="41" t="s">
        <v>434</v>
      </c>
      <c r="B83" s="4"/>
      <c r="C83" s="97"/>
      <c r="D83" s="15">
        <v>0</v>
      </c>
      <c r="E83" s="15" t="s">
        <v>399</v>
      </c>
      <c r="F83" s="15" t="s">
        <v>399</v>
      </c>
      <c r="G83" s="15">
        <f t="shared" si="2"/>
        <v>0</v>
      </c>
      <c r="H83" s="41">
        <f t="shared" si="3"/>
        <v>0</v>
      </c>
    </row>
    <row r="84" spans="1:8" x14ac:dyDescent="0.35">
      <c r="A84" s="41" t="s">
        <v>435</v>
      </c>
      <c r="B84" s="4"/>
      <c r="C84" s="97"/>
      <c r="D84" s="15">
        <v>0</v>
      </c>
      <c r="E84" s="15" t="s">
        <v>399</v>
      </c>
      <c r="F84" s="15" t="s">
        <v>399</v>
      </c>
      <c r="G84" s="15">
        <f t="shared" si="2"/>
        <v>0</v>
      </c>
      <c r="H84" s="41">
        <f t="shared" si="3"/>
        <v>0</v>
      </c>
    </row>
    <row r="85" spans="1:8" x14ac:dyDescent="0.35">
      <c r="A85" s="41" t="s">
        <v>436</v>
      </c>
      <c r="B85" s="4"/>
      <c r="C85" s="97"/>
      <c r="D85" s="15">
        <v>0</v>
      </c>
      <c r="E85" s="15" t="s">
        <v>399</v>
      </c>
      <c r="F85" s="15" t="s">
        <v>399</v>
      </c>
      <c r="G85" s="15">
        <f t="shared" si="2"/>
        <v>0</v>
      </c>
      <c r="H85" s="41">
        <f t="shared" si="3"/>
        <v>0</v>
      </c>
    </row>
    <row r="86" spans="1:8" x14ac:dyDescent="0.35">
      <c r="A86" s="41" t="s">
        <v>437</v>
      </c>
      <c r="B86" s="4"/>
      <c r="C86" s="97"/>
      <c r="D86" s="15">
        <v>0</v>
      </c>
      <c r="E86" s="15" t="s">
        <v>399</v>
      </c>
      <c r="F86" s="15" t="s">
        <v>399</v>
      </c>
      <c r="G86" s="15">
        <f t="shared" si="2"/>
        <v>0</v>
      </c>
      <c r="H86" s="41">
        <f t="shared" si="3"/>
        <v>0</v>
      </c>
    </row>
    <row r="87" spans="1:8" x14ac:dyDescent="0.35">
      <c r="A87" s="41" t="s">
        <v>438</v>
      </c>
      <c r="B87" s="4"/>
      <c r="C87" s="97"/>
      <c r="D87" s="15">
        <v>0</v>
      </c>
      <c r="E87" s="15" t="s">
        <v>399</v>
      </c>
      <c r="F87" s="15" t="s">
        <v>399</v>
      </c>
      <c r="G87" s="15">
        <f t="shared" si="2"/>
        <v>0</v>
      </c>
      <c r="H87" s="41">
        <f t="shared" si="3"/>
        <v>0</v>
      </c>
    </row>
    <row r="88" spans="1:8" x14ac:dyDescent="0.35">
      <c r="A88" s="41" t="s">
        <v>439</v>
      </c>
      <c r="B88" s="4"/>
      <c r="C88" s="97"/>
      <c r="D88" s="15">
        <v>0</v>
      </c>
      <c r="E88" s="15" t="s">
        <v>399</v>
      </c>
      <c r="F88" s="15" t="s">
        <v>399</v>
      </c>
      <c r="G88" s="15">
        <f t="shared" si="2"/>
        <v>0</v>
      </c>
      <c r="H88" s="41">
        <f t="shared" si="3"/>
        <v>0</v>
      </c>
    </row>
    <row r="89" spans="1:8" x14ac:dyDescent="0.35">
      <c r="A89" s="41" t="s">
        <v>440</v>
      </c>
      <c r="B89" s="4"/>
      <c r="C89" s="97"/>
      <c r="D89" s="15">
        <v>0</v>
      </c>
      <c r="E89" s="15" t="s">
        <v>399</v>
      </c>
      <c r="F89" s="15" t="s">
        <v>399</v>
      </c>
      <c r="G89" s="15">
        <f t="shared" si="2"/>
        <v>0</v>
      </c>
      <c r="H89" s="41">
        <f t="shared" si="3"/>
        <v>0</v>
      </c>
    </row>
    <row r="90" spans="1:8" x14ac:dyDescent="0.35">
      <c r="A90" s="41" t="s">
        <v>441</v>
      </c>
      <c r="B90" s="4"/>
      <c r="C90" s="97"/>
      <c r="D90" s="15">
        <v>0</v>
      </c>
      <c r="E90" s="15" t="s">
        <v>399</v>
      </c>
      <c r="F90" s="15" t="s">
        <v>399</v>
      </c>
      <c r="G90" s="15">
        <f t="shared" si="2"/>
        <v>0</v>
      </c>
      <c r="H90" s="41">
        <f t="shared" si="3"/>
        <v>0</v>
      </c>
    </row>
    <row r="91" spans="1:8" x14ac:dyDescent="0.35">
      <c r="A91" s="41" t="s">
        <v>442</v>
      </c>
      <c r="B91" s="4"/>
      <c r="C91" s="97"/>
      <c r="D91" s="15">
        <v>0</v>
      </c>
      <c r="E91" s="15" t="s">
        <v>399</v>
      </c>
      <c r="F91" s="15" t="s">
        <v>399</v>
      </c>
      <c r="G91" s="15">
        <f t="shared" si="2"/>
        <v>0</v>
      </c>
      <c r="H91" s="41">
        <f t="shared" si="3"/>
        <v>0</v>
      </c>
    </row>
    <row r="92" spans="1:8" x14ac:dyDescent="0.35">
      <c r="A92" s="41" t="s">
        <v>443</v>
      </c>
      <c r="B92" s="4"/>
      <c r="C92" s="97"/>
      <c r="D92" s="15">
        <v>0</v>
      </c>
      <c r="E92" s="15" t="s">
        <v>399</v>
      </c>
      <c r="F92" s="15" t="s">
        <v>399</v>
      </c>
      <c r="G92" s="15">
        <f t="shared" si="2"/>
        <v>0</v>
      </c>
      <c r="H92" s="41">
        <f t="shared" si="3"/>
        <v>0</v>
      </c>
    </row>
    <row r="93" spans="1:8" x14ac:dyDescent="0.35">
      <c r="A93" s="41" t="s">
        <v>444</v>
      </c>
      <c r="B93" s="4"/>
      <c r="C93" s="97"/>
      <c r="D93" s="15">
        <v>0</v>
      </c>
      <c r="E93" s="15" t="s">
        <v>399</v>
      </c>
      <c r="F93" s="15" t="s">
        <v>399</v>
      </c>
      <c r="G93" s="15">
        <f t="shared" si="2"/>
        <v>0</v>
      </c>
      <c r="H93" s="41">
        <f t="shared" si="3"/>
        <v>0</v>
      </c>
    </row>
    <row r="94" spans="1:8" x14ac:dyDescent="0.35">
      <c r="A94" s="41" t="s">
        <v>445</v>
      </c>
      <c r="B94" s="4"/>
      <c r="C94" s="97"/>
      <c r="D94" s="15">
        <v>0</v>
      </c>
      <c r="E94" s="15" t="s">
        <v>399</v>
      </c>
      <c r="F94" s="15" t="s">
        <v>399</v>
      </c>
      <c r="G94" s="15">
        <f t="shared" si="2"/>
        <v>0</v>
      </c>
      <c r="H94" s="41">
        <f t="shared" si="3"/>
        <v>0</v>
      </c>
    </row>
    <row r="95" spans="1:8" x14ac:dyDescent="0.35">
      <c r="A95" s="41" t="s">
        <v>446</v>
      </c>
      <c r="B95" s="4"/>
      <c r="C95" s="97"/>
      <c r="D95" s="15">
        <v>0</v>
      </c>
      <c r="E95" s="15" t="s">
        <v>399</v>
      </c>
      <c r="F95" s="15" t="s">
        <v>399</v>
      </c>
      <c r="G95" s="15">
        <f t="shared" si="2"/>
        <v>0</v>
      </c>
      <c r="H95" s="41">
        <f t="shared" si="3"/>
        <v>0</v>
      </c>
    </row>
    <row r="96" spans="1:8" x14ac:dyDescent="0.35">
      <c r="A96" s="41" t="s">
        <v>447</v>
      </c>
      <c r="B96" s="4"/>
      <c r="C96" s="97"/>
      <c r="D96" s="15">
        <v>0</v>
      </c>
      <c r="E96" s="15" t="s">
        <v>399</v>
      </c>
      <c r="F96" s="15" t="s">
        <v>399</v>
      </c>
      <c r="G96" s="15">
        <f t="shared" si="2"/>
        <v>0</v>
      </c>
      <c r="H96" s="41">
        <f t="shared" si="3"/>
        <v>0</v>
      </c>
    </row>
    <row r="97" spans="1:8" x14ac:dyDescent="0.35">
      <c r="A97" s="41" t="s">
        <v>448</v>
      </c>
      <c r="B97" s="4"/>
      <c r="C97" s="97"/>
      <c r="D97" s="15">
        <v>0</v>
      </c>
      <c r="E97" s="15" t="s">
        <v>399</v>
      </c>
      <c r="F97" s="15" t="s">
        <v>399</v>
      </c>
      <c r="G97" s="15">
        <f t="shared" si="2"/>
        <v>0</v>
      </c>
      <c r="H97" s="41">
        <f t="shared" si="3"/>
        <v>0</v>
      </c>
    </row>
    <row r="98" spans="1:8" x14ac:dyDescent="0.35">
      <c r="A98" s="41" t="s">
        <v>449</v>
      </c>
      <c r="B98" s="4"/>
      <c r="C98" s="97"/>
      <c r="D98" s="15">
        <v>0</v>
      </c>
      <c r="E98" s="15" t="s">
        <v>399</v>
      </c>
      <c r="F98" s="15" t="s">
        <v>399</v>
      </c>
      <c r="G98" s="15">
        <f t="shared" si="2"/>
        <v>0</v>
      </c>
      <c r="H98" s="41">
        <f t="shared" si="3"/>
        <v>0</v>
      </c>
    </row>
    <row r="99" spans="1:8" x14ac:dyDescent="0.35">
      <c r="A99" s="41" t="s">
        <v>450</v>
      </c>
      <c r="B99" s="4"/>
      <c r="C99" s="97"/>
      <c r="D99" s="15">
        <v>0</v>
      </c>
      <c r="E99" s="15" t="s">
        <v>399</v>
      </c>
      <c r="F99" s="15" t="s">
        <v>399</v>
      </c>
      <c r="G99" s="15">
        <f t="shared" si="2"/>
        <v>0</v>
      </c>
      <c r="H99" s="41">
        <f t="shared" si="3"/>
        <v>0</v>
      </c>
    </row>
    <row r="100" spans="1:8" x14ac:dyDescent="0.35">
      <c r="A100" s="41" t="s">
        <v>451</v>
      </c>
      <c r="B100" s="4"/>
      <c r="C100" s="97"/>
      <c r="D100" s="15">
        <v>0</v>
      </c>
      <c r="E100" s="15" t="s">
        <v>399</v>
      </c>
      <c r="F100" s="15" t="s">
        <v>399</v>
      </c>
      <c r="G100" s="15">
        <f t="shared" si="2"/>
        <v>0</v>
      </c>
      <c r="H100" s="41">
        <f t="shared" si="3"/>
        <v>0</v>
      </c>
    </row>
    <row r="101" spans="1:8" x14ac:dyDescent="0.35">
      <c r="A101" s="41" t="s">
        <v>452</v>
      </c>
      <c r="B101" s="4"/>
      <c r="C101" s="97"/>
      <c r="D101" s="15">
        <v>0</v>
      </c>
      <c r="E101" s="15" t="s">
        <v>399</v>
      </c>
      <c r="F101" s="15" t="s">
        <v>399</v>
      </c>
      <c r="G101" s="15">
        <f t="shared" si="2"/>
        <v>0</v>
      </c>
      <c r="H101" s="41">
        <f t="shared" si="3"/>
        <v>0</v>
      </c>
    </row>
  </sheetData>
  <sortState xmlns:xlrd2="http://schemas.microsoft.com/office/spreadsheetml/2017/richdata2" ref="B2:F101">
    <sortCondition descending="1" ref="D2:D101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rANK">
                <anchor>
                  <from>
                    <xdr:col>9</xdr:col>
                    <xdr:colOff>444500</xdr:colOff>
                    <xdr:row>4</xdr:row>
                    <xdr:rowOff>12700</xdr:rowOff>
                  </from>
                  <to>
                    <xdr:col>10</xdr:col>
                    <xdr:colOff>482600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L200"/>
  <sheetViews>
    <sheetView workbookViewId="0">
      <selection activeCell="G9" sqref="G9"/>
    </sheetView>
  </sheetViews>
  <sheetFormatPr defaultColWidth="8.81640625" defaultRowHeight="14.5" x14ac:dyDescent="0.35"/>
  <cols>
    <col min="1" max="1" width="19.6328125" style="74" bestFit="1" customWidth="1"/>
    <col min="2" max="2" width="5.36328125" style="75" customWidth="1"/>
    <col min="3" max="3" width="12" style="74" bestFit="1" customWidth="1"/>
    <col min="4" max="4" width="13" style="74" bestFit="1" customWidth="1"/>
    <col min="5" max="5" width="13.81640625" style="74" bestFit="1" customWidth="1"/>
    <col min="6" max="6" width="8.81640625" style="74"/>
    <col min="7" max="7" width="8.453125" style="74" bestFit="1" customWidth="1"/>
    <col min="8" max="8" width="9.81640625" style="74" bestFit="1" customWidth="1"/>
    <col min="9" max="9" width="8.453125" style="74" bestFit="1" customWidth="1"/>
    <col min="10" max="10" width="9.81640625" style="74" bestFit="1" customWidth="1"/>
    <col min="11" max="11" width="8.81640625" style="74"/>
    <col min="12" max="12" width="5.81640625" style="74" bestFit="1" customWidth="1"/>
    <col min="13" max="16384" width="8.81640625" style="74"/>
  </cols>
  <sheetData>
    <row r="1" spans="1:12" x14ac:dyDescent="0.35">
      <c r="A1" s="76" t="s">
        <v>456</v>
      </c>
      <c r="B1" s="76" t="s">
        <v>455</v>
      </c>
      <c r="C1" s="90" t="s">
        <v>19</v>
      </c>
      <c r="D1" s="91" t="s">
        <v>18</v>
      </c>
      <c r="E1" s="92" t="s">
        <v>47</v>
      </c>
      <c r="G1" s="112" t="s">
        <v>165</v>
      </c>
      <c r="H1" s="112"/>
      <c r="I1" s="113" t="s">
        <v>166</v>
      </c>
      <c r="J1" s="113"/>
      <c r="L1" s="76" t="s">
        <v>167</v>
      </c>
    </row>
    <row r="2" spans="1:12" x14ac:dyDescent="0.35">
      <c r="A2" s="77" t="s">
        <v>21</v>
      </c>
      <c r="B2" s="78" t="s">
        <v>454</v>
      </c>
      <c r="C2" s="93">
        <v>42</v>
      </c>
      <c r="D2" s="93">
        <v>24</v>
      </c>
      <c r="E2" s="94">
        <f t="shared" ref="E2:E42" si="0">(C2/3)+D2</f>
        <v>38</v>
      </c>
      <c r="G2" s="80" t="s">
        <v>169</v>
      </c>
      <c r="H2" s="81" t="s">
        <v>170</v>
      </c>
      <c r="I2" s="80" t="s">
        <v>169</v>
      </c>
      <c r="J2" s="81" t="s">
        <v>170</v>
      </c>
      <c r="L2" s="76">
        <f>Jogos!$DH$4</f>
        <v>362</v>
      </c>
    </row>
    <row r="3" spans="1:12" x14ac:dyDescent="0.35">
      <c r="A3" s="77" t="s">
        <v>51</v>
      </c>
      <c r="B3" s="78" t="s">
        <v>454</v>
      </c>
      <c r="C3" s="93">
        <v>24</v>
      </c>
      <c r="D3" s="93">
        <v>22</v>
      </c>
      <c r="E3" s="94">
        <f t="shared" si="0"/>
        <v>30</v>
      </c>
      <c r="G3" s="76">
        <f>SUMIFS($C$2:$C$200,$B$2:$B$200,"SPO")</f>
        <v>154</v>
      </c>
      <c r="H3" s="76">
        <f>SUMIFS($D$2:$D$200,$B$2:$B$200,"SPO")</f>
        <v>14</v>
      </c>
      <c r="I3" s="76">
        <f>SUMIFS($C$2:$C$200,$B$2:$B$200,"PAL")</f>
        <v>494</v>
      </c>
      <c r="J3" s="76">
        <f>SUMIFS($D$2:$D$200,$B$2:$B$200,"PAL")</f>
        <v>182</v>
      </c>
    </row>
    <row r="4" spans="1:12" x14ac:dyDescent="0.35">
      <c r="A4" s="77" t="s">
        <v>20</v>
      </c>
      <c r="B4" s="78" t="s">
        <v>454</v>
      </c>
      <c r="C4" s="93">
        <v>36</v>
      </c>
      <c r="D4" s="93">
        <v>10</v>
      </c>
      <c r="E4" s="94">
        <f t="shared" si="0"/>
        <v>22</v>
      </c>
      <c r="G4" s="82">
        <f>G3/L2</f>
        <v>0.425414364640884</v>
      </c>
      <c r="H4" s="82">
        <f>H3/L2</f>
        <v>3.8674033149171269E-2</v>
      </c>
      <c r="I4" s="82">
        <f>I3/L2</f>
        <v>1.3646408839779005</v>
      </c>
      <c r="J4" s="82">
        <f>J3/L2</f>
        <v>0.50276243093922657</v>
      </c>
    </row>
    <row r="5" spans="1:12" x14ac:dyDescent="0.35">
      <c r="A5" s="77" t="s">
        <v>478</v>
      </c>
      <c r="B5" s="78" t="s">
        <v>454</v>
      </c>
      <c r="C5" s="93">
        <v>23</v>
      </c>
      <c r="D5" s="93">
        <v>10</v>
      </c>
      <c r="E5" s="94">
        <f t="shared" si="0"/>
        <v>17.666666666666668</v>
      </c>
    </row>
    <row r="6" spans="1:12" x14ac:dyDescent="0.35">
      <c r="A6" s="77" t="s">
        <v>12</v>
      </c>
      <c r="B6" s="78" t="s">
        <v>454</v>
      </c>
      <c r="C6" s="93">
        <v>32</v>
      </c>
      <c r="D6" s="93">
        <v>7</v>
      </c>
      <c r="E6" s="94">
        <f t="shared" si="0"/>
        <v>17.666666666666664</v>
      </c>
    </row>
    <row r="7" spans="1:12" x14ac:dyDescent="0.35">
      <c r="A7" s="77" t="s">
        <v>22</v>
      </c>
      <c r="B7" s="78" t="s">
        <v>454</v>
      </c>
      <c r="C7" s="93">
        <v>18</v>
      </c>
      <c r="D7" s="93">
        <v>11</v>
      </c>
      <c r="E7" s="94">
        <f t="shared" si="0"/>
        <v>17</v>
      </c>
    </row>
    <row r="8" spans="1:12" x14ac:dyDescent="0.35">
      <c r="A8" s="77" t="s">
        <v>35</v>
      </c>
      <c r="B8" s="78" t="s">
        <v>454</v>
      </c>
      <c r="C8" s="93">
        <v>19</v>
      </c>
      <c r="D8" s="93">
        <v>10</v>
      </c>
      <c r="E8" s="94">
        <f t="shared" si="0"/>
        <v>16.333333333333332</v>
      </c>
    </row>
    <row r="9" spans="1:12" x14ac:dyDescent="0.35">
      <c r="A9" s="77" t="s">
        <v>64</v>
      </c>
      <c r="B9" s="78" t="s">
        <v>454</v>
      </c>
      <c r="C9" s="93">
        <v>24</v>
      </c>
      <c r="D9" s="93">
        <v>8</v>
      </c>
      <c r="E9" s="94">
        <f t="shared" si="0"/>
        <v>16</v>
      </c>
    </row>
    <row r="10" spans="1:12" x14ac:dyDescent="0.35">
      <c r="A10" s="77" t="s">
        <v>307</v>
      </c>
      <c r="B10" s="78" t="s">
        <v>454</v>
      </c>
      <c r="C10" s="93">
        <v>22</v>
      </c>
      <c r="D10" s="93">
        <v>8</v>
      </c>
      <c r="E10" s="94">
        <f t="shared" si="0"/>
        <v>15.333333333333332</v>
      </c>
    </row>
    <row r="11" spans="1:12" x14ac:dyDescent="0.35">
      <c r="A11" s="77" t="s">
        <v>31</v>
      </c>
      <c r="B11" s="78" t="s">
        <v>454</v>
      </c>
      <c r="C11" s="93">
        <v>19</v>
      </c>
      <c r="D11" s="93">
        <v>6</v>
      </c>
      <c r="E11" s="94">
        <f t="shared" si="0"/>
        <v>12.333333333333332</v>
      </c>
    </row>
    <row r="12" spans="1:12" x14ac:dyDescent="0.35">
      <c r="A12" s="77" t="s">
        <v>61</v>
      </c>
      <c r="B12" s="78" t="s">
        <v>454</v>
      </c>
      <c r="C12" s="93">
        <v>18</v>
      </c>
      <c r="D12" s="93">
        <v>6</v>
      </c>
      <c r="E12" s="94">
        <f t="shared" si="0"/>
        <v>12</v>
      </c>
    </row>
    <row r="13" spans="1:12" x14ac:dyDescent="0.35">
      <c r="A13" s="77" t="s">
        <v>88</v>
      </c>
      <c r="B13" s="78" t="s">
        <v>454</v>
      </c>
      <c r="C13" s="93">
        <v>15</v>
      </c>
      <c r="D13" s="93">
        <v>6</v>
      </c>
      <c r="E13" s="94">
        <f t="shared" si="0"/>
        <v>11</v>
      </c>
    </row>
    <row r="14" spans="1:12" x14ac:dyDescent="0.35">
      <c r="A14" s="77" t="s">
        <v>275</v>
      </c>
      <c r="B14" s="78" t="s">
        <v>454</v>
      </c>
      <c r="C14" s="93">
        <v>10</v>
      </c>
      <c r="D14" s="93">
        <v>7</v>
      </c>
      <c r="E14" s="94">
        <f t="shared" si="0"/>
        <v>10.333333333333334</v>
      </c>
    </row>
    <row r="15" spans="1:12" x14ac:dyDescent="0.35">
      <c r="A15" s="77" t="s">
        <v>244</v>
      </c>
      <c r="B15" s="78" t="s">
        <v>454</v>
      </c>
      <c r="C15" s="93">
        <v>19</v>
      </c>
      <c r="D15" s="93">
        <v>4</v>
      </c>
      <c r="E15" s="94">
        <f t="shared" si="0"/>
        <v>10.333333333333332</v>
      </c>
    </row>
    <row r="16" spans="1:12" x14ac:dyDescent="0.35">
      <c r="A16" s="77" t="s">
        <v>477</v>
      </c>
      <c r="B16" s="78" t="s">
        <v>454</v>
      </c>
      <c r="C16" s="93">
        <v>12</v>
      </c>
      <c r="D16" s="93">
        <v>5</v>
      </c>
      <c r="E16" s="94">
        <f t="shared" si="0"/>
        <v>9</v>
      </c>
    </row>
    <row r="17" spans="1:5" x14ac:dyDescent="0.35">
      <c r="A17" s="77" t="s">
        <v>338</v>
      </c>
      <c r="B17" s="78" t="s">
        <v>454</v>
      </c>
      <c r="C17" s="93">
        <v>15</v>
      </c>
      <c r="D17" s="93">
        <v>4</v>
      </c>
      <c r="E17" s="94">
        <f t="shared" si="0"/>
        <v>9</v>
      </c>
    </row>
    <row r="18" spans="1:5" x14ac:dyDescent="0.35">
      <c r="A18" s="77" t="s">
        <v>62</v>
      </c>
      <c r="B18" s="78" t="s">
        <v>454</v>
      </c>
      <c r="C18" s="93">
        <v>13</v>
      </c>
      <c r="D18" s="93">
        <v>4</v>
      </c>
      <c r="E18" s="94">
        <f t="shared" si="0"/>
        <v>8.3333333333333321</v>
      </c>
    </row>
    <row r="19" spans="1:5" x14ac:dyDescent="0.35">
      <c r="A19" s="83" t="s">
        <v>228</v>
      </c>
      <c r="B19" s="84" t="s">
        <v>453</v>
      </c>
      <c r="C19" s="93">
        <v>19</v>
      </c>
      <c r="D19" s="93">
        <v>2</v>
      </c>
      <c r="E19" s="94">
        <f t="shared" si="0"/>
        <v>8.3333333333333321</v>
      </c>
    </row>
    <row r="20" spans="1:5" x14ac:dyDescent="0.35">
      <c r="A20" s="77" t="s">
        <v>43</v>
      </c>
      <c r="B20" s="78" t="s">
        <v>454</v>
      </c>
      <c r="C20" s="93">
        <v>15</v>
      </c>
      <c r="D20" s="93">
        <v>3</v>
      </c>
      <c r="E20" s="94">
        <f t="shared" si="0"/>
        <v>8</v>
      </c>
    </row>
    <row r="21" spans="1:5" x14ac:dyDescent="0.35">
      <c r="A21" s="83" t="s">
        <v>69</v>
      </c>
      <c r="B21" s="84" t="s">
        <v>453</v>
      </c>
      <c r="C21" s="93">
        <v>18</v>
      </c>
      <c r="D21" s="93">
        <v>2</v>
      </c>
      <c r="E21" s="94">
        <f t="shared" si="0"/>
        <v>8</v>
      </c>
    </row>
    <row r="22" spans="1:5" x14ac:dyDescent="0.35">
      <c r="A22" s="77" t="s">
        <v>627</v>
      </c>
      <c r="B22" s="78" t="s">
        <v>454</v>
      </c>
      <c r="C22" s="93">
        <v>10</v>
      </c>
      <c r="D22" s="93">
        <v>3</v>
      </c>
      <c r="E22" s="94">
        <f t="shared" si="0"/>
        <v>6.3333333333333339</v>
      </c>
    </row>
    <row r="23" spans="1:5" x14ac:dyDescent="0.35">
      <c r="A23" s="83" t="s">
        <v>13</v>
      </c>
      <c r="B23" s="84" t="s">
        <v>453</v>
      </c>
      <c r="C23" s="93">
        <v>16</v>
      </c>
      <c r="D23" s="93">
        <v>1</v>
      </c>
      <c r="E23" s="94">
        <f t="shared" si="0"/>
        <v>6.333333333333333</v>
      </c>
    </row>
    <row r="24" spans="1:5" x14ac:dyDescent="0.35">
      <c r="A24" s="77" t="s">
        <v>10</v>
      </c>
      <c r="B24" s="78" t="s">
        <v>454</v>
      </c>
      <c r="C24" s="93">
        <v>6</v>
      </c>
      <c r="D24" s="93">
        <v>4</v>
      </c>
      <c r="E24" s="94">
        <f t="shared" si="0"/>
        <v>6</v>
      </c>
    </row>
    <row r="25" spans="1:5" x14ac:dyDescent="0.35">
      <c r="A25" s="77" t="s">
        <v>15</v>
      </c>
      <c r="B25" s="78" t="s">
        <v>454</v>
      </c>
      <c r="C25" s="93">
        <v>14</v>
      </c>
      <c r="D25" s="93">
        <v>1</v>
      </c>
      <c r="E25" s="94">
        <f t="shared" si="0"/>
        <v>5.666666666666667</v>
      </c>
    </row>
    <row r="26" spans="1:5" x14ac:dyDescent="0.35">
      <c r="A26" s="77" t="s">
        <v>46</v>
      </c>
      <c r="B26" s="78" t="s">
        <v>454</v>
      </c>
      <c r="C26" s="93">
        <v>14</v>
      </c>
      <c r="D26" s="93">
        <v>1</v>
      </c>
      <c r="E26" s="94">
        <f t="shared" si="0"/>
        <v>5.666666666666667</v>
      </c>
    </row>
    <row r="27" spans="1:5" x14ac:dyDescent="0.35">
      <c r="A27" s="83" t="s">
        <v>269</v>
      </c>
      <c r="B27" s="84" t="s">
        <v>453</v>
      </c>
      <c r="C27" s="93">
        <v>8</v>
      </c>
      <c r="D27" s="93">
        <v>2</v>
      </c>
      <c r="E27" s="94">
        <f t="shared" si="0"/>
        <v>4.6666666666666661</v>
      </c>
    </row>
    <row r="28" spans="1:5" x14ac:dyDescent="0.35">
      <c r="A28" s="77" t="s">
        <v>57</v>
      </c>
      <c r="B28" s="78" t="s">
        <v>454</v>
      </c>
      <c r="C28" s="104">
        <v>11</v>
      </c>
      <c r="D28" s="93">
        <v>1</v>
      </c>
      <c r="E28" s="94">
        <f t="shared" si="0"/>
        <v>4.6666666666666661</v>
      </c>
    </row>
    <row r="29" spans="1:5" x14ac:dyDescent="0.35">
      <c r="A29" s="77" t="s">
        <v>86</v>
      </c>
      <c r="B29" s="78" t="s">
        <v>454</v>
      </c>
      <c r="C29" s="93">
        <v>8</v>
      </c>
      <c r="D29" s="93">
        <v>1</v>
      </c>
      <c r="E29" s="94">
        <f t="shared" si="0"/>
        <v>3.6666666666666665</v>
      </c>
    </row>
    <row r="30" spans="1:5" x14ac:dyDescent="0.35">
      <c r="A30" s="83" t="s">
        <v>87</v>
      </c>
      <c r="B30" s="84" t="s">
        <v>453</v>
      </c>
      <c r="C30" s="93">
        <v>8</v>
      </c>
      <c r="D30" s="93">
        <v>1</v>
      </c>
      <c r="E30" s="94">
        <f t="shared" si="0"/>
        <v>3.6666666666666665</v>
      </c>
    </row>
    <row r="31" spans="1:5" x14ac:dyDescent="0.35">
      <c r="A31" s="83" t="s">
        <v>253</v>
      </c>
      <c r="B31" s="84" t="s">
        <v>453</v>
      </c>
      <c r="C31" s="93">
        <v>10</v>
      </c>
      <c r="D31" s="93">
        <v>0</v>
      </c>
      <c r="E31" s="94">
        <f t="shared" si="0"/>
        <v>3.3333333333333335</v>
      </c>
    </row>
    <row r="32" spans="1:5" x14ac:dyDescent="0.35">
      <c r="A32" s="77" t="s">
        <v>180</v>
      </c>
      <c r="B32" s="78" t="s">
        <v>454</v>
      </c>
      <c r="C32" s="93">
        <v>4</v>
      </c>
      <c r="D32" s="93">
        <v>2</v>
      </c>
      <c r="E32" s="94">
        <f t="shared" si="0"/>
        <v>3.333333333333333</v>
      </c>
    </row>
    <row r="33" spans="1:5" x14ac:dyDescent="0.35">
      <c r="A33" s="77" t="s">
        <v>473</v>
      </c>
      <c r="B33" s="78" t="s">
        <v>454</v>
      </c>
      <c r="C33" s="93">
        <v>6</v>
      </c>
      <c r="D33" s="93">
        <v>1</v>
      </c>
      <c r="E33" s="94">
        <f t="shared" si="0"/>
        <v>3</v>
      </c>
    </row>
    <row r="34" spans="1:5" x14ac:dyDescent="0.35">
      <c r="A34" s="83" t="s">
        <v>254</v>
      </c>
      <c r="B34" s="84" t="s">
        <v>453</v>
      </c>
      <c r="C34" s="93">
        <v>9</v>
      </c>
      <c r="D34" s="93">
        <v>0</v>
      </c>
      <c r="E34" s="94">
        <f t="shared" si="0"/>
        <v>3</v>
      </c>
    </row>
    <row r="35" spans="1:5" x14ac:dyDescent="0.35">
      <c r="A35" s="77" t="s">
        <v>23</v>
      </c>
      <c r="B35" s="78" t="s">
        <v>454</v>
      </c>
      <c r="C35" s="93">
        <v>5</v>
      </c>
      <c r="D35" s="93">
        <v>1</v>
      </c>
      <c r="E35" s="94">
        <f t="shared" si="0"/>
        <v>2.666666666666667</v>
      </c>
    </row>
    <row r="36" spans="1:5" x14ac:dyDescent="0.35">
      <c r="A36" s="77" t="s">
        <v>144</v>
      </c>
      <c r="B36" s="78" t="s">
        <v>454</v>
      </c>
      <c r="C36" s="93">
        <v>1</v>
      </c>
      <c r="D36" s="93">
        <v>2</v>
      </c>
      <c r="E36" s="94">
        <f t="shared" si="0"/>
        <v>2.3333333333333335</v>
      </c>
    </row>
    <row r="37" spans="1:5" x14ac:dyDescent="0.35">
      <c r="A37" s="83" t="s">
        <v>201</v>
      </c>
      <c r="B37" s="84" t="s">
        <v>453</v>
      </c>
      <c r="C37" s="93">
        <v>4</v>
      </c>
      <c r="D37" s="93">
        <v>1</v>
      </c>
      <c r="E37" s="94">
        <f t="shared" si="0"/>
        <v>2.333333333333333</v>
      </c>
    </row>
    <row r="38" spans="1:5" x14ac:dyDescent="0.35">
      <c r="A38" s="77" t="s">
        <v>628</v>
      </c>
      <c r="B38" s="78" t="s">
        <v>454</v>
      </c>
      <c r="C38" s="93">
        <v>4</v>
      </c>
      <c r="D38" s="93">
        <v>1</v>
      </c>
      <c r="E38" s="94">
        <f t="shared" si="0"/>
        <v>2.333333333333333</v>
      </c>
    </row>
    <row r="39" spans="1:5" x14ac:dyDescent="0.35">
      <c r="A39" s="83" t="s">
        <v>265</v>
      </c>
      <c r="B39" s="84" t="s">
        <v>453</v>
      </c>
      <c r="C39" s="93">
        <v>3</v>
      </c>
      <c r="D39" s="93">
        <v>1</v>
      </c>
      <c r="E39" s="94">
        <f t="shared" si="0"/>
        <v>2</v>
      </c>
    </row>
    <row r="40" spans="1:5" x14ac:dyDescent="0.35">
      <c r="A40" s="77" t="s">
        <v>683</v>
      </c>
      <c r="B40" s="78" t="s">
        <v>454</v>
      </c>
      <c r="C40" s="93">
        <v>3</v>
      </c>
      <c r="D40" s="93">
        <v>1</v>
      </c>
      <c r="E40" s="94">
        <f t="shared" si="0"/>
        <v>2</v>
      </c>
    </row>
    <row r="41" spans="1:5" x14ac:dyDescent="0.35">
      <c r="A41" s="77" t="s">
        <v>684</v>
      </c>
      <c r="B41" s="78" t="s">
        <v>454</v>
      </c>
      <c r="C41" s="93">
        <v>3</v>
      </c>
      <c r="D41" s="93">
        <v>1</v>
      </c>
      <c r="E41" s="94">
        <f t="shared" si="0"/>
        <v>2</v>
      </c>
    </row>
    <row r="42" spans="1:5" x14ac:dyDescent="0.35">
      <c r="A42" s="77" t="s">
        <v>200</v>
      </c>
      <c r="B42" s="78" t="s">
        <v>454</v>
      </c>
      <c r="C42" s="93">
        <v>6</v>
      </c>
      <c r="D42" s="93">
        <v>0</v>
      </c>
      <c r="E42" s="94">
        <f t="shared" si="0"/>
        <v>2</v>
      </c>
    </row>
    <row r="43" spans="1:5" x14ac:dyDescent="0.35">
      <c r="A43" s="83" t="s">
        <v>30</v>
      </c>
      <c r="B43" s="84" t="s">
        <v>453</v>
      </c>
      <c r="C43" s="93">
        <v>5</v>
      </c>
      <c r="D43" s="93">
        <v>0</v>
      </c>
      <c r="E43" s="94">
        <v>1.7</v>
      </c>
    </row>
    <row r="44" spans="1:5" x14ac:dyDescent="0.35">
      <c r="A44" s="77" t="s">
        <v>17</v>
      </c>
      <c r="B44" s="78" t="s">
        <v>454</v>
      </c>
      <c r="C44" s="93">
        <v>5</v>
      </c>
      <c r="D44" s="93">
        <v>0</v>
      </c>
      <c r="E44" s="94">
        <f t="shared" ref="E44:E75" si="1">(C44/3)+D44</f>
        <v>1.6666666666666667</v>
      </c>
    </row>
    <row r="45" spans="1:5" x14ac:dyDescent="0.35">
      <c r="A45" s="83" t="s">
        <v>29</v>
      </c>
      <c r="B45" s="84" t="s">
        <v>453</v>
      </c>
      <c r="C45" s="93">
        <v>5</v>
      </c>
      <c r="D45" s="93">
        <v>0</v>
      </c>
      <c r="E45" s="94">
        <f t="shared" si="1"/>
        <v>1.6666666666666667</v>
      </c>
    </row>
    <row r="46" spans="1:5" x14ac:dyDescent="0.35">
      <c r="A46" s="77" t="s">
        <v>143</v>
      </c>
      <c r="B46" s="78" t="s">
        <v>454</v>
      </c>
      <c r="C46" s="93">
        <v>2</v>
      </c>
      <c r="D46" s="93">
        <v>1</v>
      </c>
      <c r="E46" s="94">
        <f t="shared" si="1"/>
        <v>1.6666666666666665</v>
      </c>
    </row>
    <row r="47" spans="1:5" x14ac:dyDescent="0.35">
      <c r="A47" s="77" t="s">
        <v>301</v>
      </c>
      <c r="B47" s="78" t="s">
        <v>454</v>
      </c>
      <c r="C47" s="93">
        <v>2</v>
      </c>
      <c r="D47" s="93">
        <v>1</v>
      </c>
      <c r="E47" s="94">
        <f t="shared" si="1"/>
        <v>1.6666666666666665</v>
      </c>
    </row>
    <row r="48" spans="1:5" x14ac:dyDescent="0.35">
      <c r="A48" s="77" t="s">
        <v>589</v>
      </c>
      <c r="B48" s="78" t="s">
        <v>454</v>
      </c>
      <c r="C48" s="93">
        <v>2</v>
      </c>
      <c r="D48" s="93">
        <v>1</v>
      </c>
      <c r="E48" s="94">
        <f t="shared" si="1"/>
        <v>1.6666666666666665</v>
      </c>
    </row>
    <row r="49" spans="1:5" x14ac:dyDescent="0.35">
      <c r="A49" s="83" t="s">
        <v>398</v>
      </c>
      <c r="B49" s="84" t="s">
        <v>453</v>
      </c>
      <c r="C49" s="93">
        <v>2</v>
      </c>
      <c r="D49" s="93">
        <v>1</v>
      </c>
      <c r="E49" s="94">
        <f t="shared" si="1"/>
        <v>1.6666666666666665</v>
      </c>
    </row>
    <row r="50" spans="1:5" x14ac:dyDescent="0.35">
      <c r="A50" s="77" t="s">
        <v>52</v>
      </c>
      <c r="B50" s="78" t="s">
        <v>454</v>
      </c>
      <c r="C50" s="93">
        <v>1</v>
      </c>
      <c r="D50" s="93">
        <v>1</v>
      </c>
      <c r="E50" s="94">
        <f t="shared" si="1"/>
        <v>1.3333333333333333</v>
      </c>
    </row>
    <row r="51" spans="1:5" x14ac:dyDescent="0.35">
      <c r="A51" s="77" t="s">
        <v>73</v>
      </c>
      <c r="B51" s="78" t="s">
        <v>454</v>
      </c>
      <c r="C51" s="93">
        <v>1</v>
      </c>
      <c r="D51" s="93">
        <v>1</v>
      </c>
      <c r="E51" s="94">
        <f t="shared" si="1"/>
        <v>1.3333333333333333</v>
      </c>
    </row>
    <row r="52" spans="1:5" x14ac:dyDescent="0.35">
      <c r="A52" s="83" t="s">
        <v>63</v>
      </c>
      <c r="B52" s="84" t="s">
        <v>453</v>
      </c>
      <c r="C52" s="93">
        <v>1</v>
      </c>
      <c r="D52" s="93">
        <v>1</v>
      </c>
      <c r="E52" s="94">
        <f t="shared" si="1"/>
        <v>1.3333333333333333</v>
      </c>
    </row>
    <row r="53" spans="1:5" x14ac:dyDescent="0.35">
      <c r="A53" s="83" t="s">
        <v>145</v>
      </c>
      <c r="B53" s="84" t="s">
        <v>453</v>
      </c>
      <c r="C53" s="93">
        <v>1</v>
      </c>
      <c r="D53" s="93">
        <v>1</v>
      </c>
      <c r="E53" s="94">
        <f t="shared" si="1"/>
        <v>1.3333333333333333</v>
      </c>
    </row>
    <row r="54" spans="1:5" x14ac:dyDescent="0.35">
      <c r="A54" s="77" t="s">
        <v>72</v>
      </c>
      <c r="B54" s="78" t="s">
        <v>454</v>
      </c>
      <c r="C54" s="93">
        <v>1</v>
      </c>
      <c r="D54" s="93">
        <v>1</v>
      </c>
      <c r="E54" s="94">
        <f t="shared" si="1"/>
        <v>1.3333333333333333</v>
      </c>
    </row>
    <row r="55" spans="1:5" x14ac:dyDescent="0.35">
      <c r="A55" s="83" t="s">
        <v>285</v>
      </c>
      <c r="B55" s="84" t="s">
        <v>453</v>
      </c>
      <c r="C55" s="93">
        <v>4</v>
      </c>
      <c r="D55" s="93">
        <v>0</v>
      </c>
      <c r="E55" s="94">
        <f t="shared" si="1"/>
        <v>1.3333333333333333</v>
      </c>
    </row>
    <row r="56" spans="1:5" x14ac:dyDescent="0.35">
      <c r="A56" s="83" t="s">
        <v>337</v>
      </c>
      <c r="B56" s="84" t="s">
        <v>453</v>
      </c>
      <c r="C56" s="93">
        <v>4</v>
      </c>
      <c r="D56" s="93">
        <v>0</v>
      </c>
      <c r="E56" s="94">
        <f t="shared" si="1"/>
        <v>1.3333333333333333</v>
      </c>
    </row>
    <row r="57" spans="1:5" x14ac:dyDescent="0.35">
      <c r="A57" s="83" t="s">
        <v>229</v>
      </c>
      <c r="B57" s="84" t="s">
        <v>453</v>
      </c>
      <c r="C57" s="93">
        <v>4</v>
      </c>
      <c r="D57" s="93">
        <v>0</v>
      </c>
      <c r="E57" s="94">
        <f t="shared" si="1"/>
        <v>1.3333333333333333</v>
      </c>
    </row>
    <row r="58" spans="1:5" x14ac:dyDescent="0.35">
      <c r="A58" s="83" t="s">
        <v>494</v>
      </c>
      <c r="B58" s="84" t="s">
        <v>453</v>
      </c>
      <c r="C58" s="93">
        <v>4</v>
      </c>
      <c r="D58" s="93">
        <v>0</v>
      </c>
      <c r="E58" s="94">
        <f t="shared" si="1"/>
        <v>1.3333333333333333</v>
      </c>
    </row>
    <row r="59" spans="1:5" x14ac:dyDescent="0.35">
      <c r="A59" s="83" t="s">
        <v>629</v>
      </c>
      <c r="B59" s="84" t="s">
        <v>453</v>
      </c>
      <c r="C59" s="93">
        <v>0</v>
      </c>
      <c r="D59" s="93">
        <v>1</v>
      </c>
      <c r="E59" s="94">
        <f t="shared" si="1"/>
        <v>1</v>
      </c>
    </row>
    <row r="60" spans="1:5" x14ac:dyDescent="0.35">
      <c r="A60" s="77" t="s">
        <v>653</v>
      </c>
      <c r="B60" s="78" t="s">
        <v>454</v>
      </c>
      <c r="C60" s="93">
        <v>0</v>
      </c>
      <c r="D60" s="93">
        <v>1</v>
      </c>
      <c r="E60" s="94">
        <f t="shared" si="1"/>
        <v>1</v>
      </c>
    </row>
    <row r="61" spans="1:5" x14ac:dyDescent="0.35">
      <c r="A61" s="83" t="s">
        <v>50</v>
      </c>
      <c r="B61" s="84" t="s">
        <v>453</v>
      </c>
      <c r="C61" s="93">
        <v>3</v>
      </c>
      <c r="D61" s="93">
        <v>0</v>
      </c>
      <c r="E61" s="94">
        <f t="shared" si="1"/>
        <v>1</v>
      </c>
    </row>
    <row r="62" spans="1:5" x14ac:dyDescent="0.35">
      <c r="A62" s="83" t="s">
        <v>268</v>
      </c>
      <c r="B62" s="84" t="s">
        <v>453</v>
      </c>
      <c r="C62" s="93">
        <v>3</v>
      </c>
      <c r="D62" s="93">
        <v>0</v>
      </c>
      <c r="E62" s="94">
        <f t="shared" si="1"/>
        <v>1</v>
      </c>
    </row>
    <row r="63" spans="1:5" x14ac:dyDescent="0.35">
      <c r="A63" s="83" t="s">
        <v>249</v>
      </c>
      <c r="B63" s="84" t="s">
        <v>453</v>
      </c>
      <c r="C63" s="93">
        <v>3</v>
      </c>
      <c r="D63" s="93">
        <v>0</v>
      </c>
      <c r="E63" s="94">
        <f t="shared" si="1"/>
        <v>1</v>
      </c>
    </row>
    <row r="64" spans="1:5" x14ac:dyDescent="0.35">
      <c r="A64" s="83" t="s">
        <v>44</v>
      </c>
      <c r="B64" s="84" t="s">
        <v>453</v>
      </c>
      <c r="C64" s="93">
        <v>2</v>
      </c>
      <c r="D64" s="93">
        <v>0</v>
      </c>
      <c r="E64" s="94">
        <f t="shared" si="1"/>
        <v>0.66666666666666663</v>
      </c>
    </row>
    <row r="65" spans="1:5" x14ac:dyDescent="0.35">
      <c r="A65" s="77" t="s">
        <v>38</v>
      </c>
      <c r="B65" s="78" t="s">
        <v>454</v>
      </c>
      <c r="C65" s="93">
        <v>2</v>
      </c>
      <c r="D65" s="93">
        <v>0</v>
      </c>
      <c r="E65" s="94">
        <f t="shared" si="1"/>
        <v>0.66666666666666663</v>
      </c>
    </row>
    <row r="66" spans="1:5" x14ac:dyDescent="0.35">
      <c r="A66" s="83" t="s">
        <v>264</v>
      </c>
      <c r="B66" s="84" t="s">
        <v>453</v>
      </c>
      <c r="C66" s="93">
        <v>2</v>
      </c>
      <c r="D66" s="93">
        <v>0</v>
      </c>
      <c r="E66" s="94">
        <f t="shared" si="1"/>
        <v>0.66666666666666663</v>
      </c>
    </row>
    <row r="67" spans="1:5" x14ac:dyDescent="0.35">
      <c r="A67" s="83" t="s">
        <v>10</v>
      </c>
      <c r="B67" s="84" t="s">
        <v>453</v>
      </c>
      <c r="C67" s="93">
        <v>2</v>
      </c>
      <c r="D67" s="93">
        <v>0</v>
      </c>
      <c r="E67" s="94">
        <f t="shared" si="1"/>
        <v>0.66666666666666663</v>
      </c>
    </row>
    <row r="68" spans="1:5" x14ac:dyDescent="0.35">
      <c r="A68" s="83" t="s">
        <v>231</v>
      </c>
      <c r="B68" s="84" t="s">
        <v>453</v>
      </c>
      <c r="C68" s="93">
        <v>2</v>
      </c>
      <c r="D68" s="93">
        <v>0</v>
      </c>
      <c r="E68" s="94">
        <f t="shared" si="1"/>
        <v>0.66666666666666663</v>
      </c>
    </row>
    <row r="69" spans="1:5" x14ac:dyDescent="0.35">
      <c r="A69" s="83" t="s">
        <v>561</v>
      </c>
      <c r="B69" s="84" t="s">
        <v>453</v>
      </c>
      <c r="C69" s="93">
        <v>2</v>
      </c>
      <c r="D69" s="93">
        <v>0</v>
      </c>
      <c r="E69" s="94">
        <f t="shared" si="1"/>
        <v>0.66666666666666663</v>
      </c>
    </row>
    <row r="70" spans="1:5" x14ac:dyDescent="0.35">
      <c r="A70" s="83" t="s">
        <v>269</v>
      </c>
      <c r="B70" s="84" t="s">
        <v>453</v>
      </c>
      <c r="C70" s="93">
        <v>2</v>
      </c>
      <c r="D70" s="93">
        <v>0</v>
      </c>
      <c r="E70" s="94">
        <f t="shared" si="1"/>
        <v>0.66666666666666663</v>
      </c>
    </row>
    <row r="71" spans="1:5" x14ac:dyDescent="0.35">
      <c r="A71" s="83" t="s">
        <v>588</v>
      </c>
      <c r="B71" s="84" t="s">
        <v>453</v>
      </c>
      <c r="C71" s="93">
        <v>2</v>
      </c>
      <c r="D71" s="93">
        <v>0</v>
      </c>
      <c r="E71" s="94">
        <f t="shared" si="1"/>
        <v>0.66666666666666663</v>
      </c>
    </row>
    <row r="72" spans="1:5" x14ac:dyDescent="0.35">
      <c r="A72" s="77" t="s">
        <v>16</v>
      </c>
      <c r="B72" s="78" t="s">
        <v>454</v>
      </c>
      <c r="C72" s="93">
        <v>1</v>
      </c>
      <c r="D72" s="93">
        <v>0</v>
      </c>
      <c r="E72" s="94">
        <f t="shared" si="1"/>
        <v>0.33333333333333331</v>
      </c>
    </row>
    <row r="73" spans="1:5" x14ac:dyDescent="0.35">
      <c r="A73" s="83" t="s">
        <v>11</v>
      </c>
      <c r="B73" s="84" t="s">
        <v>453</v>
      </c>
      <c r="C73" s="93">
        <v>1</v>
      </c>
      <c r="D73" s="93">
        <v>0</v>
      </c>
      <c r="E73" s="94">
        <f t="shared" si="1"/>
        <v>0.33333333333333331</v>
      </c>
    </row>
    <row r="74" spans="1:5" x14ac:dyDescent="0.35">
      <c r="A74" s="77" t="s">
        <v>98</v>
      </c>
      <c r="B74" s="78" t="s">
        <v>454</v>
      </c>
      <c r="C74" s="93">
        <v>1</v>
      </c>
      <c r="D74" s="93">
        <v>0</v>
      </c>
      <c r="E74" s="94">
        <f t="shared" si="1"/>
        <v>0.33333333333333331</v>
      </c>
    </row>
    <row r="75" spans="1:5" x14ac:dyDescent="0.35">
      <c r="A75" s="77" t="s">
        <v>181</v>
      </c>
      <c r="B75" s="78" t="s">
        <v>454</v>
      </c>
      <c r="C75" s="93">
        <v>1</v>
      </c>
      <c r="D75" s="93">
        <v>0</v>
      </c>
      <c r="E75" s="94">
        <f t="shared" si="1"/>
        <v>0.33333333333333331</v>
      </c>
    </row>
    <row r="76" spans="1:5" x14ac:dyDescent="0.35">
      <c r="A76" s="77" t="s">
        <v>34</v>
      </c>
      <c r="B76" s="78" t="s">
        <v>454</v>
      </c>
      <c r="C76" s="93">
        <v>1</v>
      </c>
      <c r="D76" s="93">
        <v>0</v>
      </c>
      <c r="E76" s="94">
        <f t="shared" ref="E76:E107" si="2">(C76/3)+D76</f>
        <v>0.33333333333333331</v>
      </c>
    </row>
    <row r="77" spans="1:5" x14ac:dyDescent="0.35">
      <c r="A77" s="83" t="s">
        <v>216</v>
      </c>
      <c r="B77" s="84" t="s">
        <v>453</v>
      </c>
      <c r="C77" s="93">
        <v>1</v>
      </c>
      <c r="D77" s="93">
        <v>0</v>
      </c>
      <c r="E77" s="94">
        <f t="shared" si="2"/>
        <v>0.33333333333333331</v>
      </c>
    </row>
    <row r="78" spans="1:5" x14ac:dyDescent="0.35">
      <c r="A78" s="83" t="s">
        <v>248</v>
      </c>
      <c r="B78" s="84" t="s">
        <v>453</v>
      </c>
      <c r="C78" s="93">
        <v>1</v>
      </c>
      <c r="D78" s="93">
        <v>0</v>
      </c>
      <c r="E78" s="94">
        <f t="shared" si="2"/>
        <v>0.33333333333333331</v>
      </c>
    </row>
    <row r="79" spans="1:5" x14ac:dyDescent="0.35">
      <c r="A79" s="83" t="s">
        <v>12</v>
      </c>
      <c r="B79" s="84" t="s">
        <v>453</v>
      </c>
      <c r="C79" s="93">
        <v>1</v>
      </c>
      <c r="D79" s="93">
        <v>0</v>
      </c>
      <c r="E79" s="94">
        <f t="shared" si="2"/>
        <v>0.33333333333333331</v>
      </c>
    </row>
    <row r="80" spans="1:5" x14ac:dyDescent="0.35">
      <c r="A80" s="77" t="s">
        <v>270</v>
      </c>
      <c r="B80" s="78" t="s">
        <v>454</v>
      </c>
      <c r="C80" s="93">
        <v>1</v>
      </c>
      <c r="D80" s="93">
        <v>0</v>
      </c>
      <c r="E80" s="94">
        <f t="shared" si="2"/>
        <v>0.33333333333333331</v>
      </c>
    </row>
    <row r="81" spans="1:5" x14ac:dyDescent="0.35">
      <c r="A81" s="77" t="s">
        <v>587</v>
      </c>
      <c r="B81" s="78" t="s">
        <v>454</v>
      </c>
      <c r="C81" s="93">
        <v>1</v>
      </c>
      <c r="D81" s="93">
        <v>0</v>
      </c>
      <c r="E81" s="94">
        <f t="shared" si="2"/>
        <v>0.33333333333333331</v>
      </c>
    </row>
    <row r="82" spans="1:5" x14ac:dyDescent="0.35">
      <c r="A82" s="83" t="s">
        <v>263</v>
      </c>
      <c r="B82" s="84" t="s">
        <v>453</v>
      </c>
      <c r="C82" s="93">
        <v>1</v>
      </c>
      <c r="D82" s="93">
        <v>0</v>
      </c>
      <c r="E82" s="94">
        <f t="shared" si="2"/>
        <v>0.33333333333333331</v>
      </c>
    </row>
    <row r="83" spans="1:5" x14ac:dyDescent="0.35">
      <c r="A83" s="77" t="s">
        <v>274</v>
      </c>
      <c r="B83" s="78" t="s">
        <v>454</v>
      </c>
      <c r="C83" s="93">
        <v>1</v>
      </c>
      <c r="D83" s="93">
        <v>0</v>
      </c>
      <c r="E83" s="94">
        <f t="shared" si="2"/>
        <v>0.33333333333333331</v>
      </c>
    </row>
    <row r="84" spans="1:5" x14ac:dyDescent="0.35">
      <c r="A84" s="83" t="s">
        <v>14</v>
      </c>
      <c r="B84" s="84" t="s">
        <v>453</v>
      </c>
      <c r="C84" s="93">
        <v>1</v>
      </c>
      <c r="D84" s="93">
        <v>0</v>
      </c>
      <c r="E84" s="94">
        <f t="shared" si="2"/>
        <v>0.33333333333333331</v>
      </c>
    </row>
    <row r="85" spans="1:5" x14ac:dyDescent="0.35">
      <c r="A85" s="85"/>
      <c r="B85" s="79"/>
      <c r="C85" s="93">
        <v>0</v>
      </c>
      <c r="D85" s="93">
        <v>0</v>
      </c>
      <c r="E85" s="94">
        <f t="shared" si="2"/>
        <v>0</v>
      </c>
    </row>
    <row r="86" spans="1:5" x14ac:dyDescent="0.35">
      <c r="A86" s="85"/>
      <c r="B86" s="79"/>
      <c r="C86" s="93">
        <v>0</v>
      </c>
      <c r="D86" s="93">
        <v>0</v>
      </c>
      <c r="E86" s="94">
        <f t="shared" si="2"/>
        <v>0</v>
      </c>
    </row>
    <row r="87" spans="1:5" x14ac:dyDescent="0.35">
      <c r="A87" s="85"/>
      <c r="B87" s="79"/>
      <c r="C87" s="93">
        <v>0</v>
      </c>
      <c r="D87" s="93">
        <v>0</v>
      </c>
      <c r="E87" s="94">
        <f t="shared" si="2"/>
        <v>0</v>
      </c>
    </row>
    <row r="88" spans="1:5" x14ac:dyDescent="0.35">
      <c r="A88" s="85"/>
      <c r="B88" s="79"/>
      <c r="C88" s="93">
        <v>0</v>
      </c>
      <c r="D88" s="93">
        <v>0</v>
      </c>
      <c r="E88" s="94">
        <f t="shared" si="2"/>
        <v>0</v>
      </c>
    </row>
    <row r="89" spans="1:5" x14ac:dyDescent="0.35">
      <c r="A89" s="85"/>
      <c r="B89" s="79"/>
      <c r="C89" s="93">
        <v>0</v>
      </c>
      <c r="D89" s="93">
        <v>0</v>
      </c>
      <c r="E89" s="94">
        <f t="shared" si="2"/>
        <v>0</v>
      </c>
    </row>
    <row r="90" spans="1:5" x14ac:dyDescent="0.35">
      <c r="A90" s="85"/>
      <c r="B90" s="79"/>
      <c r="C90" s="93">
        <v>0</v>
      </c>
      <c r="D90" s="93">
        <v>0</v>
      </c>
      <c r="E90" s="94">
        <f t="shared" si="2"/>
        <v>0</v>
      </c>
    </row>
    <row r="91" spans="1:5" x14ac:dyDescent="0.35">
      <c r="A91" s="85"/>
      <c r="B91" s="79"/>
      <c r="C91" s="93">
        <v>0</v>
      </c>
      <c r="D91" s="93">
        <v>0</v>
      </c>
      <c r="E91" s="94">
        <f t="shared" si="2"/>
        <v>0</v>
      </c>
    </row>
    <row r="92" spans="1:5" x14ac:dyDescent="0.35">
      <c r="A92" s="85"/>
      <c r="B92" s="79"/>
      <c r="C92" s="93">
        <v>0</v>
      </c>
      <c r="D92" s="93">
        <v>0</v>
      </c>
      <c r="E92" s="94">
        <f t="shared" si="2"/>
        <v>0</v>
      </c>
    </row>
    <row r="93" spans="1:5" x14ac:dyDescent="0.35">
      <c r="A93" s="85"/>
      <c r="B93" s="79"/>
      <c r="C93" s="93">
        <v>0</v>
      </c>
      <c r="D93" s="93">
        <v>0</v>
      </c>
      <c r="E93" s="94">
        <f t="shared" si="2"/>
        <v>0</v>
      </c>
    </row>
    <row r="94" spans="1:5" x14ac:dyDescent="0.35">
      <c r="A94" s="85"/>
      <c r="B94" s="79"/>
      <c r="C94" s="93">
        <v>0</v>
      </c>
      <c r="D94" s="93">
        <v>0</v>
      </c>
      <c r="E94" s="94">
        <f t="shared" si="2"/>
        <v>0</v>
      </c>
    </row>
    <row r="95" spans="1:5" x14ac:dyDescent="0.35">
      <c r="A95" s="85"/>
      <c r="B95" s="79"/>
      <c r="C95" s="93">
        <v>0</v>
      </c>
      <c r="D95" s="93">
        <v>0</v>
      </c>
      <c r="E95" s="94">
        <f t="shared" si="2"/>
        <v>0</v>
      </c>
    </row>
    <row r="96" spans="1:5" x14ac:dyDescent="0.35">
      <c r="A96" s="85"/>
      <c r="B96" s="79"/>
      <c r="C96" s="93">
        <v>0</v>
      </c>
      <c r="D96" s="93">
        <v>0</v>
      </c>
      <c r="E96" s="94">
        <f t="shared" si="2"/>
        <v>0</v>
      </c>
    </row>
    <row r="97" spans="1:5" x14ac:dyDescent="0.35">
      <c r="A97" s="85"/>
      <c r="B97" s="79"/>
      <c r="C97" s="93">
        <v>0</v>
      </c>
      <c r="D97" s="93">
        <v>0</v>
      </c>
      <c r="E97" s="94">
        <f t="shared" si="2"/>
        <v>0</v>
      </c>
    </row>
    <row r="98" spans="1:5" x14ac:dyDescent="0.35">
      <c r="A98" s="85"/>
      <c r="B98" s="79"/>
      <c r="C98" s="93">
        <v>0</v>
      </c>
      <c r="D98" s="93">
        <v>0</v>
      </c>
      <c r="E98" s="94">
        <f t="shared" si="2"/>
        <v>0</v>
      </c>
    </row>
    <row r="99" spans="1:5" x14ac:dyDescent="0.35">
      <c r="A99" s="85"/>
      <c r="B99" s="79"/>
      <c r="C99" s="93">
        <v>0</v>
      </c>
      <c r="D99" s="93">
        <v>0</v>
      </c>
      <c r="E99" s="94">
        <f t="shared" si="2"/>
        <v>0</v>
      </c>
    </row>
    <row r="100" spans="1:5" x14ac:dyDescent="0.35">
      <c r="A100" s="85"/>
      <c r="B100" s="79"/>
      <c r="C100" s="93">
        <v>0</v>
      </c>
      <c r="D100" s="93">
        <v>0</v>
      </c>
      <c r="E100" s="94">
        <f t="shared" si="2"/>
        <v>0</v>
      </c>
    </row>
    <row r="101" spans="1:5" x14ac:dyDescent="0.35">
      <c r="A101" s="85"/>
      <c r="B101" s="79"/>
      <c r="C101" s="93">
        <v>0</v>
      </c>
      <c r="D101" s="93">
        <v>0</v>
      </c>
      <c r="E101" s="94">
        <f t="shared" si="2"/>
        <v>0</v>
      </c>
    </row>
    <row r="102" spans="1:5" x14ac:dyDescent="0.35">
      <c r="A102" s="85"/>
      <c r="B102" s="79"/>
      <c r="C102" s="93">
        <v>0</v>
      </c>
      <c r="D102" s="93">
        <v>0</v>
      </c>
      <c r="E102" s="94">
        <f t="shared" si="2"/>
        <v>0</v>
      </c>
    </row>
    <row r="103" spans="1:5" x14ac:dyDescent="0.35">
      <c r="A103" s="85"/>
      <c r="B103" s="79"/>
      <c r="C103" s="93">
        <v>0</v>
      </c>
      <c r="D103" s="93">
        <v>0</v>
      </c>
      <c r="E103" s="94">
        <f t="shared" si="2"/>
        <v>0</v>
      </c>
    </row>
    <row r="104" spans="1:5" x14ac:dyDescent="0.35">
      <c r="A104" s="85"/>
      <c r="B104" s="79"/>
      <c r="C104" s="93">
        <v>0</v>
      </c>
      <c r="D104" s="93">
        <v>0</v>
      </c>
      <c r="E104" s="94">
        <f t="shared" si="2"/>
        <v>0</v>
      </c>
    </row>
    <row r="105" spans="1:5" x14ac:dyDescent="0.35">
      <c r="A105" s="85"/>
      <c r="B105" s="79"/>
      <c r="C105" s="93">
        <v>0</v>
      </c>
      <c r="D105" s="93">
        <v>0</v>
      </c>
      <c r="E105" s="94">
        <f t="shared" si="2"/>
        <v>0</v>
      </c>
    </row>
    <row r="106" spans="1:5" x14ac:dyDescent="0.35">
      <c r="A106" s="85"/>
      <c r="B106" s="79"/>
      <c r="C106" s="93">
        <v>0</v>
      </c>
      <c r="D106" s="93">
        <v>0</v>
      </c>
      <c r="E106" s="94">
        <f t="shared" si="2"/>
        <v>0</v>
      </c>
    </row>
    <row r="107" spans="1:5" x14ac:dyDescent="0.35">
      <c r="A107" s="85"/>
      <c r="B107" s="79"/>
      <c r="C107" s="93">
        <v>0</v>
      </c>
      <c r="D107" s="93">
        <v>0</v>
      </c>
      <c r="E107" s="94">
        <f t="shared" si="2"/>
        <v>0</v>
      </c>
    </row>
    <row r="108" spans="1:5" x14ac:dyDescent="0.35">
      <c r="A108" s="85"/>
      <c r="B108" s="79"/>
      <c r="C108" s="93">
        <v>0</v>
      </c>
      <c r="D108" s="93">
        <v>0</v>
      </c>
      <c r="E108" s="94">
        <f t="shared" ref="E108:E139" si="3">(C108/3)+D108</f>
        <v>0</v>
      </c>
    </row>
    <row r="109" spans="1:5" x14ac:dyDescent="0.35">
      <c r="A109" s="85"/>
      <c r="B109" s="79"/>
      <c r="C109" s="93">
        <v>0</v>
      </c>
      <c r="D109" s="93">
        <v>0</v>
      </c>
      <c r="E109" s="94">
        <f t="shared" si="3"/>
        <v>0</v>
      </c>
    </row>
    <row r="110" spans="1:5" x14ac:dyDescent="0.35">
      <c r="A110" s="85"/>
      <c r="B110" s="79"/>
      <c r="C110" s="93">
        <v>0</v>
      </c>
      <c r="D110" s="93">
        <v>0</v>
      </c>
      <c r="E110" s="94">
        <f t="shared" si="3"/>
        <v>0</v>
      </c>
    </row>
    <row r="111" spans="1:5" x14ac:dyDescent="0.35">
      <c r="A111" s="85"/>
      <c r="B111" s="79"/>
      <c r="C111" s="93">
        <v>0</v>
      </c>
      <c r="D111" s="93">
        <v>0</v>
      </c>
      <c r="E111" s="94">
        <f t="shared" si="3"/>
        <v>0</v>
      </c>
    </row>
    <row r="112" spans="1:5" x14ac:dyDescent="0.35">
      <c r="A112" s="85"/>
      <c r="B112" s="79"/>
      <c r="C112" s="93">
        <v>0</v>
      </c>
      <c r="D112" s="93">
        <v>0</v>
      </c>
      <c r="E112" s="94">
        <f t="shared" si="3"/>
        <v>0</v>
      </c>
    </row>
    <row r="113" spans="1:5" x14ac:dyDescent="0.35">
      <c r="A113" s="85"/>
      <c r="B113" s="79"/>
      <c r="C113" s="93">
        <v>0</v>
      </c>
      <c r="D113" s="93">
        <v>0</v>
      </c>
      <c r="E113" s="94">
        <f t="shared" si="3"/>
        <v>0</v>
      </c>
    </row>
    <row r="114" spans="1:5" x14ac:dyDescent="0.35">
      <c r="A114" s="85"/>
      <c r="B114" s="79"/>
      <c r="C114" s="93">
        <v>0</v>
      </c>
      <c r="D114" s="93">
        <v>0</v>
      </c>
      <c r="E114" s="94">
        <f t="shared" si="3"/>
        <v>0</v>
      </c>
    </row>
    <row r="115" spans="1:5" x14ac:dyDescent="0.35">
      <c r="A115" s="85"/>
      <c r="B115" s="79"/>
      <c r="C115" s="93">
        <v>0</v>
      </c>
      <c r="D115" s="93">
        <v>0</v>
      </c>
      <c r="E115" s="94">
        <f t="shared" si="3"/>
        <v>0</v>
      </c>
    </row>
    <row r="116" spans="1:5" x14ac:dyDescent="0.35">
      <c r="A116" s="85"/>
      <c r="B116" s="79"/>
      <c r="C116" s="93">
        <v>0</v>
      </c>
      <c r="D116" s="93">
        <v>0</v>
      </c>
      <c r="E116" s="94">
        <f t="shared" si="3"/>
        <v>0</v>
      </c>
    </row>
    <row r="117" spans="1:5" x14ac:dyDescent="0.35">
      <c r="A117" s="85"/>
      <c r="B117" s="79"/>
      <c r="C117" s="93">
        <v>0</v>
      </c>
      <c r="D117" s="93">
        <v>0</v>
      </c>
      <c r="E117" s="94">
        <f t="shared" si="3"/>
        <v>0</v>
      </c>
    </row>
    <row r="118" spans="1:5" x14ac:dyDescent="0.35">
      <c r="A118" s="85"/>
      <c r="B118" s="79"/>
      <c r="C118" s="93">
        <v>0</v>
      </c>
      <c r="D118" s="93">
        <v>0</v>
      </c>
      <c r="E118" s="94">
        <f t="shared" si="3"/>
        <v>0</v>
      </c>
    </row>
    <row r="119" spans="1:5" x14ac:dyDescent="0.35">
      <c r="A119" s="85"/>
      <c r="B119" s="79"/>
      <c r="C119" s="93">
        <v>0</v>
      </c>
      <c r="D119" s="93">
        <v>0</v>
      </c>
      <c r="E119" s="94">
        <f t="shared" si="3"/>
        <v>0</v>
      </c>
    </row>
    <row r="120" spans="1:5" x14ac:dyDescent="0.35">
      <c r="A120" s="85"/>
      <c r="B120" s="79"/>
      <c r="C120" s="93">
        <v>0</v>
      </c>
      <c r="D120" s="93">
        <v>0</v>
      </c>
      <c r="E120" s="94">
        <f t="shared" si="3"/>
        <v>0</v>
      </c>
    </row>
    <row r="121" spans="1:5" x14ac:dyDescent="0.35">
      <c r="A121" s="85"/>
      <c r="B121" s="79"/>
      <c r="C121" s="93">
        <v>0</v>
      </c>
      <c r="D121" s="93">
        <v>0</v>
      </c>
      <c r="E121" s="94">
        <f t="shared" si="3"/>
        <v>0</v>
      </c>
    </row>
    <row r="122" spans="1:5" x14ac:dyDescent="0.35">
      <c r="A122" s="85"/>
      <c r="B122" s="79"/>
      <c r="C122" s="93">
        <v>0</v>
      </c>
      <c r="D122" s="93">
        <v>0</v>
      </c>
      <c r="E122" s="94">
        <f t="shared" si="3"/>
        <v>0</v>
      </c>
    </row>
    <row r="123" spans="1:5" x14ac:dyDescent="0.35">
      <c r="A123" s="85"/>
      <c r="B123" s="79"/>
      <c r="C123" s="93">
        <v>0</v>
      </c>
      <c r="D123" s="93">
        <v>0</v>
      </c>
      <c r="E123" s="94">
        <f t="shared" si="3"/>
        <v>0</v>
      </c>
    </row>
    <row r="124" spans="1:5" x14ac:dyDescent="0.35">
      <c r="A124" s="85"/>
      <c r="B124" s="79"/>
      <c r="C124" s="93">
        <v>0</v>
      </c>
      <c r="D124" s="93">
        <v>0</v>
      </c>
      <c r="E124" s="94">
        <f t="shared" si="3"/>
        <v>0</v>
      </c>
    </row>
    <row r="125" spans="1:5" x14ac:dyDescent="0.35">
      <c r="A125" s="85"/>
      <c r="B125" s="79"/>
      <c r="C125" s="93">
        <v>0</v>
      </c>
      <c r="D125" s="93">
        <v>0</v>
      </c>
      <c r="E125" s="94">
        <f t="shared" si="3"/>
        <v>0</v>
      </c>
    </row>
    <row r="126" spans="1:5" x14ac:dyDescent="0.35">
      <c r="A126" s="85"/>
      <c r="B126" s="79"/>
      <c r="C126" s="93">
        <v>0</v>
      </c>
      <c r="D126" s="93">
        <v>0</v>
      </c>
      <c r="E126" s="94">
        <f t="shared" si="3"/>
        <v>0</v>
      </c>
    </row>
    <row r="127" spans="1:5" x14ac:dyDescent="0.35">
      <c r="A127" s="85"/>
      <c r="B127" s="79"/>
      <c r="C127" s="93">
        <v>0</v>
      </c>
      <c r="D127" s="93">
        <v>0</v>
      </c>
      <c r="E127" s="94">
        <f t="shared" si="3"/>
        <v>0</v>
      </c>
    </row>
    <row r="128" spans="1:5" x14ac:dyDescent="0.35">
      <c r="A128" s="85"/>
      <c r="B128" s="79"/>
      <c r="C128" s="93">
        <v>0</v>
      </c>
      <c r="D128" s="93">
        <v>0</v>
      </c>
      <c r="E128" s="94">
        <f t="shared" si="3"/>
        <v>0</v>
      </c>
    </row>
    <row r="129" spans="1:5" x14ac:dyDescent="0.35">
      <c r="A129" s="85"/>
      <c r="B129" s="79"/>
      <c r="C129" s="93">
        <v>0</v>
      </c>
      <c r="D129" s="93">
        <v>0</v>
      </c>
      <c r="E129" s="94">
        <f t="shared" si="3"/>
        <v>0</v>
      </c>
    </row>
    <row r="130" spans="1:5" x14ac:dyDescent="0.35">
      <c r="A130" s="85"/>
      <c r="B130" s="79"/>
      <c r="C130" s="93">
        <v>0</v>
      </c>
      <c r="D130" s="93">
        <v>0</v>
      </c>
      <c r="E130" s="94">
        <f t="shared" si="3"/>
        <v>0</v>
      </c>
    </row>
    <row r="131" spans="1:5" x14ac:dyDescent="0.35">
      <c r="A131" s="85"/>
      <c r="B131" s="79"/>
      <c r="C131" s="93">
        <v>0</v>
      </c>
      <c r="D131" s="93">
        <v>0</v>
      </c>
      <c r="E131" s="94">
        <f t="shared" si="3"/>
        <v>0</v>
      </c>
    </row>
    <row r="132" spans="1:5" x14ac:dyDescent="0.35">
      <c r="A132" s="85"/>
      <c r="B132" s="79"/>
      <c r="C132" s="93">
        <v>0</v>
      </c>
      <c r="D132" s="93">
        <v>0</v>
      </c>
      <c r="E132" s="94">
        <f t="shared" si="3"/>
        <v>0</v>
      </c>
    </row>
    <row r="133" spans="1:5" x14ac:dyDescent="0.35">
      <c r="A133" s="85"/>
      <c r="B133" s="79"/>
      <c r="C133" s="93">
        <v>0</v>
      </c>
      <c r="D133" s="93">
        <v>0</v>
      </c>
      <c r="E133" s="94">
        <f t="shared" si="3"/>
        <v>0</v>
      </c>
    </row>
    <row r="134" spans="1:5" x14ac:dyDescent="0.35">
      <c r="A134" s="85"/>
      <c r="B134" s="79"/>
      <c r="C134" s="93">
        <v>0</v>
      </c>
      <c r="D134" s="93">
        <v>0</v>
      </c>
      <c r="E134" s="94">
        <f t="shared" si="3"/>
        <v>0</v>
      </c>
    </row>
    <row r="135" spans="1:5" x14ac:dyDescent="0.35">
      <c r="A135" s="85"/>
      <c r="B135" s="79"/>
      <c r="C135" s="93">
        <v>0</v>
      </c>
      <c r="D135" s="93">
        <v>0</v>
      </c>
      <c r="E135" s="94">
        <f t="shared" si="3"/>
        <v>0</v>
      </c>
    </row>
    <row r="136" spans="1:5" x14ac:dyDescent="0.35">
      <c r="A136" s="85"/>
      <c r="B136" s="79"/>
      <c r="C136" s="93">
        <v>0</v>
      </c>
      <c r="D136" s="93">
        <v>0</v>
      </c>
      <c r="E136" s="94">
        <f t="shared" si="3"/>
        <v>0</v>
      </c>
    </row>
    <row r="137" spans="1:5" x14ac:dyDescent="0.35">
      <c r="A137" s="85"/>
      <c r="B137" s="79"/>
      <c r="C137" s="93">
        <v>0</v>
      </c>
      <c r="D137" s="93">
        <v>0</v>
      </c>
      <c r="E137" s="94">
        <f t="shared" si="3"/>
        <v>0</v>
      </c>
    </row>
    <row r="138" spans="1:5" x14ac:dyDescent="0.35">
      <c r="A138" s="85"/>
      <c r="B138" s="79"/>
      <c r="C138" s="93">
        <v>0</v>
      </c>
      <c r="D138" s="93">
        <v>0</v>
      </c>
      <c r="E138" s="94">
        <f t="shared" si="3"/>
        <v>0</v>
      </c>
    </row>
    <row r="139" spans="1:5" x14ac:dyDescent="0.35">
      <c r="A139" s="85"/>
      <c r="B139" s="79"/>
      <c r="C139" s="93">
        <v>0</v>
      </c>
      <c r="D139" s="93">
        <v>0</v>
      </c>
      <c r="E139" s="94">
        <f t="shared" si="3"/>
        <v>0</v>
      </c>
    </row>
    <row r="140" spans="1:5" x14ac:dyDescent="0.35">
      <c r="A140" s="85"/>
      <c r="B140" s="79"/>
      <c r="C140" s="93">
        <v>0</v>
      </c>
      <c r="D140" s="93">
        <v>0</v>
      </c>
      <c r="E140" s="94">
        <f t="shared" ref="E140:E171" si="4">(C140/3)+D140</f>
        <v>0</v>
      </c>
    </row>
    <row r="141" spans="1:5" x14ac:dyDescent="0.35">
      <c r="A141" s="85"/>
      <c r="B141" s="79"/>
      <c r="C141" s="93">
        <v>0</v>
      </c>
      <c r="D141" s="93">
        <v>0</v>
      </c>
      <c r="E141" s="94">
        <f t="shared" si="4"/>
        <v>0</v>
      </c>
    </row>
    <row r="142" spans="1:5" x14ac:dyDescent="0.35">
      <c r="A142" s="85"/>
      <c r="B142" s="79"/>
      <c r="C142" s="93">
        <v>0</v>
      </c>
      <c r="D142" s="93">
        <v>0</v>
      </c>
      <c r="E142" s="94">
        <f t="shared" si="4"/>
        <v>0</v>
      </c>
    </row>
    <row r="143" spans="1:5" x14ac:dyDescent="0.35">
      <c r="A143" s="85"/>
      <c r="B143" s="79"/>
      <c r="C143" s="93">
        <v>0</v>
      </c>
      <c r="D143" s="93">
        <v>0</v>
      </c>
      <c r="E143" s="94">
        <f t="shared" si="4"/>
        <v>0</v>
      </c>
    </row>
    <row r="144" spans="1:5" x14ac:dyDescent="0.35">
      <c r="A144" s="85"/>
      <c r="B144" s="79"/>
      <c r="C144" s="93">
        <v>0</v>
      </c>
      <c r="D144" s="93">
        <v>0</v>
      </c>
      <c r="E144" s="94">
        <f t="shared" si="4"/>
        <v>0</v>
      </c>
    </row>
    <row r="145" spans="1:5" x14ac:dyDescent="0.35">
      <c r="A145" s="85"/>
      <c r="B145" s="79"/>
      <c r="C145" s="93">
        <v>0</v>
      </c>
      <c r="D145" s="93">
        <v>0</v>
      </c>
      <c r="E145" s="94">
        <f t="shared" si="4"/>
        <v>0</v>
      </c>
    </row>
    <row r="146" spans="1:5" x14ac:dyDescent="0.35">
      <c r="A146" s="85"/>
      <c r="B146" s="79"/>
      <c r="C146" s="93">
        <v>0</v>
      </c>
      <c r="D146" s="93">
        <v>0</v>
      </c>
      <c r="E146" s="94">
        <f t="shared" si="4"/>
        <v>0</v>
      </c>
    </row>
    <row r="147" spans="1:5" x14ac:dyDescent="0.35">
      <c r="A147" s="85"/>
      <c r="B147" s="79"/>
      <c r="C147" s="93">
        <v>0</v>
      </c>
      <c r="D147" s="93">
        <v>0</v>
      </c>
      <c r="E147" s="94">
        <f t="shared" si="4"/>
        <v>0</v>
      </c>
    </row>
    <row r="148" spans="1:5" x14ac:dyDescent="0.35">
      <c r="A148" s="85"/>
      <c r="B148" s="79"/>
      <c r="C148" s="93">
        <v>0</v>
      </c>
      <c r="D148" s="93">
        <v>0</v>
      </c>
      <c r="E148" s="94">
        <f t="shared" si="4"/>
        <v>0</v>
      </c>
    </row>
    <row r="149" spans="1:5" x14ac:dyDescent="0.35">
      <c r="A149" s="85"/>
      <c r="B149" s="79"/>
      <c r="C149" s="93">
        <v>0</v>
      </c>
      <c r="D149" s="93">
        <v>0</v>
      </c>
      <c r="E149" s="94">
        <f t="shared" si="4"/>
        <v>0</v>
      </c>
    </row>
    <row r="150" spans="1:5" x14ac:dyDescent="0.35">
      <c r="A150" s="85"/>
      <c r="B150" s="79"/>
      <c r="C150" s="93">
        <v>0</v>
      </c>
      <c r="D150" s="93">
        <v>0</v>
      </c>
      <c r="E150" s="94">
        <f t="shared" si="4"/>
        <v>0</v>
      </c>
    </row>
    <row r="151" spans="1:5" x14ac:dyDescent="0.35">
      <c r="A151" s="85"/>
      <c r="B151" s="79"/>
      <c r="C151" s="93">
        <v>0</v>
      </c>
      <c r="D151" s="93">
        <v>0</v>
      </c>
      <c r="E151" s="94">
        <f t="shared" si="4"/>
        <v>0</v>
      </c>
    </row>
    <row r="152" spans="1:5" x14ac:dyDescent="0.35">
      <c r="A152" s="85"/>
      <c r="B152" s="79"/>
      <c r="C152" s="93">
        <v>0</v>
      </c>
      <c r="D152" s="93">
        <v>0</v>
      </c>
      <c r="E152" s="94">
        <f t="shared" si="4"/>
        <v>0</v>
      </c>
    </row>
    <row r="153" spans="1:5" x14ac:dyDescent="0.35">
      <c r="A153" s="85"/>
      <c r="B153" s="79"/>
      <c r="C153" s="93">
        <v>0</v>
      </c>
      <c r="D153" s="93">
        <v>0</v>
      </c>
      <c r="E153" s="94">
        <f t="shared" si="4"/>
        <v>0</v>
      </c>
    </row>
    <row r="154" spans="1:5" x14ac:dyDescent="0.35">
      <c r="A154" s="85"/>
      <c r="B154" s="79"/>
      <c r="C154" s="93">
        <v>0</v>
      </c>
      <c r="D154" s="93">
        <v>0</v>
      </c>
      <c r="E154" s="94">
        <f t="shared" si="4"/>
        <v>0</v>
      </c>
    </row>
    <row r="155" spans="1:5" x14ac:dyDescent="0.35">
      <c r="A155" s="85"/>
      <c r="B155" s="79"/>
      <c r="C155" s="93">
        <v>0</v>
      </c>
      <c r="D155" s="93">
        <v>0</v>
      </c>
      <c r="E155" s="94">
        <f t="shared" si="4"/>
        <v>0</v>
      </c>
    </row>
    <row r="156" spans="1:5" x14ac:dyDescent="0.35">
      <c r="A156" s="85"/>
      <c r="B156" s="79"/>
      <c r="C156" s="93">
        <v>0</v>
      </c>
      <c r="D156" s="93">
        <v>0</v>
      </c>
      <c r="E156" s="94">
        <f t="shared" si="4"/>
        <v>0</v>
      </c>
    </row>
    <row r="157" spans="1:5" x14ac:dyDescent="0.35">
      <c r="A157" s="85"/>
      <c r="B157" s="79"/>
      <c r="C157" s="93">
        <v>0</v>
      </c>
      <c r="D157" s="93">
        <v>0</v>
      </c>
      <c r="E157" s="94">
        <f t="shared" si="4"/>
        <v>0</v>
      </c>
    </row>
    <row r="158" spans="1:5" x14ac:dyDescent="0.35">
      <c r="A158" s="85"/>
      <c r="B158" s="79"/>
      <c r="C158" s="93">
        <v>0</v>
      </c>
      <c r="D158" s="93">
        <v>0</v>
      </c>
      <c r="E158" s="94">
        <f t="shared" si="4"/>
        <v>0</v>
      </c>
    </row>
    <row r="159" spans="1:5" x14ac:dyDescent="0.35">
      <c r="A159" s="85"/>
      <c r="B159" s="79"/>
      <c r="C159" s="93">
        <v>0</v>
      </c>
      <c r="D159" s="93">
        <v>0</v>
      </c>
      <c r="E159" s="94">
        <f t="shared" si="4"/>
        <v>0</v>
      </c>
    </row>
    <row r="160" spans="1:5" x14ac:dyDescent="0.35">
      <c r="A160" s="85"/>
      <c r="B160" s="79"/>
      <c r="C160" s="93">
        <v>0</v>
      </c>
      <c r="D160" s="93">
        <v>0</v>
      </c>
      <c r="E160" s="94">
        <f t="shared" si="4"/>
        <v>0</v>
      </c>
    </row>
    <row r="161" spans="1:5" x14ac:dyDescent="0.35">
      <c r="A161" s="85"/>
      <c r="B161" s="79"/>
      <c r="C161" s="93">
        <v>0</v>
      </c>
      <c r="D161" s="93">
        <v>0</v>
      </c>
      <c r="E161" s="94">
        <f t="shared" si="4"/>
        <v>0</v>
      </c>
    </row>
    <row r="162" spans="1:5" x14ac:dyDescent="0.35">
      <c r="A162" s="85"/>
      <c r="B162" s="79"/>
      <c r="C162" s="93">
        <v>0</v>
      </c>
      <c r="D162" s="93">
        <v>0</v>
      </c>
      <c r="E162" s="94">
        <f t="shared" si="4"/>
        <v>0</v>
      </c>
    </row>
    <row r="163" spans="1:5" x14ac:dyDescent="0.35">
      <c r="A163" s="85"/>
      <c r="B163" s="79"/>
      <c r="C163" s="93">
        <v>0</v>
      </c>
      <c r="D163" s="93">
        <v>0</v>
      </c>
      <c r="E163" s="94">
        <f t="shared" si="4"/>
        <v>0</v>
      </c>
    </row>
    <row r="164" spans="1:5" x14ac:dyDescent="0.35">
      <c r="A164" s="85"/>
      <c r="B164" s="79"/>
      <c r="C164" s="93">
        <v>0</v>
      </c>
      <c r="D164" s="93">
        <v>0</v>
      </c>
      <c r="E164" s="94">
        <f t="shared" si="4"/>
        <v>0</v>
      </c>
    </row>
    <row r="165" spans="1:5" x14ac:dyDescent="0.35">
      <c r="A165" s="85"/>
      <c r="B165" s="79"/>
      <c r="C165" s="93">
        <v>0</v>
      </c>
      <c r="D165" s="93">
        <v>0</v>
      </c>
      <c r="E165" s="94">
        <f t="shared" si="4"/>
        <v>0</v>
      </c>
    </row>
    <row r="166" spans="1:5" x14ac:dyDescent="0.35">
      <c r="A166" s="85"/>
      <c r="B166" s="79"/>
      <c r="C166" s="93">
        <v>0</v>
      </c>
      <c r="D166" s="93">
        <v>0</v>
      </c>
      <c r="E166" s="94">
        <f t="shared" si="4"/>
        <v>0</v>
      </c>
    </row>
    <row r="167" spans="1:5" x14ac:dyDescent="0.35">
      <c r="A167" s="85"/>
      <c r="B167" s="79"/>
      <c r="C167" s="93">
        <v>0</v>
      </c>
      <c r="D167" s="93">
        <v>0</v>
      </c>
      <c r="E167" s="94">
        <f t="shared" si="4"/>
        <v>0</v>
      </c>
    </row>
    <row r="168" spans="1:5" x14ac:dyDescent="0.35">
      <c r="A168" s="85"/>
      <c r="B168" s="79"/>
      <c r="C168" s="86">
        <v>0</v>
      </c>
      <c r="D168" s="86">
        <v>0</v>
      </c>
      <c r="E168" s="94">
        <f t="shared" si="4"/>
        <v>0</v>
      </c>
    </row>
    <row r="169" spans="1:5" x14ac:dyDescent="0.35">
      <c r="A169" s="85"/>
      <c r="B169" s="79"/>
      <c r="C169" s="86">
        <v>0</v>
      </c>
      <c r="D169" s="86">
        <v>0</v>
      </c>
      <c r="E169" s="94">
        <f t="shared" si="4"/>
        <v>0</v>
      </c>
    </row>
    <row r="170" spans="1:5" x14ac:dyDescent="0.35">
      <c r="A170" s="85"/>
      <c r="B170" s="79"/>
      <c r="C170" s="86">
        <v>0</v>
      </c>
      <c r="D170" s="86">
        <v>0</v>
      </c>
      <c r="E170" s="94">
        <f t="shared" si="4"/>
        <v>0</v>
      </c>
    </row>
    <row r="171" spans="1:5" x14ac:dyDescent="0.35">
      <c r="A171" s="85"/>
      <c r="B171" s="79"/>
      <c r="C171" s="86">
        <v>0</v>
      </c>
      <c r="D171" s="86">
        <v>0</v>
      </c>
      <c r="E171" s="94">
        <f t="shared" si="4"/>
        <v>0</v>
      </c>
    </row>
    <row r="172" spans="1:5" x14ac:dyDescent="0.35">
      <c r="A172" s="85"/>
      <c r="B172" s="79"/>
      <c r="C172" s="86">
        <v>0</v>
      </c>
      <c r="D172" s="86">
        <v>0</v>
      </c>
      <c r="E172" s="94">
        <f t="shared" ref="E172:E200" si="5">(C172/3)+D172</f>
        <v>0</v>
      </c>
    </row>
    <row r="173" spans="1:5" x14ac:dyDescent="0.35">
      <c r="A173" s="85"/>
      <c r="B173" s="79"/>
      <c r="C173" s="86">
        <v>0</v>
      </c>
      <c r="D173" s="86">
        <v>0</v>
      </c>
      <c r="E173" s="94">
        <f t="shared" si="5"/>
        <v>0</v>
      </c>
    </row>
    <row r="174" spans="1:5" x14ac:dyDescent="0.35">
      <c r="A174" s="85"/>
      <c r="B174" s="79"/>
      <c r="C174" s="86">
        <v>0</v>
      </c>
      <c r="D174" s="86">
        <v>0</v>
      </c>
      <c r="E174" s="94">
        <f t="shared" si="5"/>
        <v>0</v>
      </c>
    </row>
    <row r="175" spans="1:5" x14ac:dyDescent="0.35">
      <c r="A175" s="85"/>
      <c r="B175" s="79"/>
      <c r="C175" s="86">
        <v>0</v>
      </c>
      <c r="D175" s="86">
        <v>0</v>
      </c>
      <c r="E175" s="94">
        <f t="shared" si="5"/>
        <v>0</v>
      </c>
    </row>
    <row r="176" spans="1:5" x14ac:dyDescent="0.35">
      <c r="A176" s="85"/>
      <c r="B176" s="79"/>
      <c r="C176" s="86">
        <v>0</v>
      </c>
      <c r="D176" s="86">
        <v>0</v>
      </c>
      <c r="E176" s="94">
        <f t="shared" si="5"/>
        <v>0</v>
      </c>
    </row>
    <row r="177" spans="1:5" x14ac:dyDescent="0.35">
      <c r="A177" s="85"/>
      <c r="B177" s="79"/>
      <c r="C177" s="86">
        <v>0</v>
      </c>
      <c r="D177" s="86">
        <v>0</v>
      </c>
      <c r="E177" s="94">
        <f t="shared" si="5"/>
        <v>0</v>
      </c>
    </row>
    <row r="178" spans="1:5" x14ac:dyDescent="0.35">
      <c r="A178" s="85"/>
      <c r="B178" s="79"/>
      <c r="C178" s="86">
        <v>0</v>
      </c>
      <c r="D178" s="86">
        <v>0</v>
      </c>
      <c r="E178" s="94">
        <f t="shared" si="5"/>
        <v>0</v>
      </c>
    </row>
    <row r="179" spans="1:5" x14ac:dyDescent="0.35">
      <c r="A179" s="85"/>
      <c r="B179" s="79"/>
      <c r="C179" s="86">
        <v>0</v>
      </c>
      <c r="D179" s="86">
        <v>0</v>
      </c>
      <c r="E179" s="94">
        <f t="shared" si="5"/>
        <v>0</v>
      </c>
    </row>
    <row r="180" spans="1:5" x14ac:dyDescent="0.35">
      <c r="A180" s="85"/>
      <c r="B180" s="79"/>
      <c r="C180" s="86">
        <v>0</v>
      </c>
      <c r="D180" s="86">
        <v>0</v>
      </c>
      <c r="E180" s="94">
        <f t="shared" si="5"/>
        <v>0</v>
      </c>
    </row>
    <row r="181" spans="1:5" x14ac:dyDescent="0.35">
      <c r="A181" s="85"/>
      <c r="B181" s="79"/>
      <c r="C181" s="86">
        <v>0</v>
      </c>
      <c r="D181" s="86">
        <v>0</v>
      </c>
      <c r="E181" s="94">
        <f t="shared" si="5"/>
        <v>0</v>
      </c>
    </row>
    <row r="182" spans="1:5" x14ac:dyDescent="0.35">
      <c r="A182" s="85"/>
      <c r="B182" s="79"/>
      <c r="C182" s="86">
        <v>0</v>
      </c>
      <c r="D182" s="86">
        <v>0</v>
      </c>
      <c r="E182" s="94">
        <f t="shared" si="5"/>
        <v>0</v>
      </c>
    </row>
    <row r="183" spans="1:5" x14ac:dyDescent="0.35">
      <c r="A183" s="85"/>
      <c r="B183" s="79"/>
      <c r="C183" s="86">
        <v>0</v>
      </c>
      <c r="D183" s="86">
        <v>0</v>
      </c>
      <c r="E183" s="94">
        <f t="shared" si="5"/>
        <v>0</v>
      </c>
    </row>
    <row r="184" spans="1:5" x14ac:dyDescent="0.35">
      <c r="A184" s="85"/>
      <c r="B184" s="79"/>
      <c r="C184" s="86">
        <v>0</v>
      </c>
      <c r="D184" s="86">
        <v>0</v>
      </c>
      <c r="E184" s="94">
        <f t="shared" si="5"/>
        <v>0</v>
      </c>
    </row>
    <row r="185" spans="1:5" x14ac:dyDescent="0.35">
      <c r="A185" s="85"/>
      <c r="B185" s="79"/>
      <c r="C185" s="86">
        <v>0</v>
      </c>
      <c r="D185" s="86">
        <v>0</v>
      </c>
      <c r="E185" s="94">
        <f t="shared" si="5"/>
        <v>0</v>
      </c>
    </row>
    <row r="186" spans="1:5" x14ac:dyDescent="0.35">
      <c r="A186" s="85"/>
      <c r="B186" s="79"/>
      <c r="C186" s="86">
        <v>0</v>
      </c>
      <c r="D186" s="86">
        <v>0</v>
      </c>
      <c r="E186" s="94">
        <f t="shared" si="5"/>
        <v>0</v>
      </c>
    </row>
    <row r="187" spans="1:5" x14ac:dyDescent="0.35">
      <c r="A187" s="85"/>
      <c r="B187" s="79"/>
      <c r="C187" s="86">
        <v>0</v>
      </c>
      <c r="D187" s="86">
        <v>0</v>
      </c>
      <c r="E187" s="94">
        <f t="shared" si="5"/>
        <v>0</v>
      </c>
    </row>
    <row r="188" spans="1:5" x14ac:dyDescent="0.35">
      <c r="A188" s="85"/>
      <c r="B188" s="79"/>
      <c r="C188" s="86">
        <v>0</v>
      </c>
      <c r="D188" s="86">
        <v>0</v>
      </c>
      <c r="E188" s="94">
        <f t="shared" si="5"/>
        <v>0</v>
      </c>
    </row>
    <row r="189" spans="1:5" x14ac:dyDescent="0.35">
      <c r="A189" s="85"/>
      <c r="B189" s="79"/>
      <c r="C189" s="86">
        <v>0</v>
      </c>
      <c r="D189" s="86">
        <v>0</v>
      </c>
      <c r="E189" s="94">
        <f t="shared" si="5"/>
        <v>0</v>
      </c>
    </row>
    <row r="190" spans="1:5" x14ac:dyDescent="0.35">
      <c r="A190" s="85"/>
      <c r="B190" s="79"/>
      <c r="C190" s="86">
        <v>0</v>
      </c>
      <c r="D190" s="86">
        <v>0</v>
      </c>
      <c r="E190" s="94">
        <f t="shared" si="5"/>
        <v>0</v>
      </c>
    </row>
    <row r="191" spans="1:5" x14ac:dyDescent="0.35">
      <c r="A191" s="85"/>
      <c r="B191" s="79"/>
      <c r="C191" s="86">
        <v>0</v>
      </c>
      <c r="D191" s="86">
        <v>0</v>
      </c>
      <c r="E191" s="94">
        <f t="shared" si="5"/>
        <v>0</v>
      </c>
    </row>
    <row r="192" spans="1:5" x14ac:dyDescent="0.35">
      <c r="A192" s="85"/>
      <c r="B192" s="79"/>
      <c r="C192" s="86">
        <v>0</v>
      </c>
      <c r="D192" s="86">
        <v>0</v>
      </c>
      <c r="E192" s="94">
        <f t="shared" si="5"/>
        <v>0</v>
      </c>
    </row>
    <row r="193" spans="1:5" x14ac:dyDescent="0.35">
      <c r="A193" s="85"/>
      <c r="B193" s="79"/>
      <c r="C193" s="86">
        <v>0</v>
      </c>
      <c r="D193" s="86">
        <v>0</v>
      </c>
      <c r="E193" s="94">
        <f t="shared" si="5"/>
        <v>0</v>
      </c>
    </row>
    <row r="194" spans="1:5" x14ac:dyDescent="0.35">
      <c r="A194" s="85"/>
      <c r="B194" s="79"/>
      <c r="C194" s="86">
        <v>0</v>
      </c>
      <c r="D194" s="86">
        <v>0</v>
      </c>
      <c r="E194" s="94">
        <f t="shared" si="5"/>
        <v>0</v>
      </c>
    </row>
    <row r="195" spans="1:5" x14ac:dyDescent="0.35">
      <c r="A195" s="85"/>
      <c r="B195" s="79"/>
      <c r="C195" s="86">
        <v>0</v>
      </c>
      <c r="D195" s="86">
        <v>0</v>
      </c>
      <c r="E195" s="94">
        <f t="shared" si="5"/>
        <v>0</v>
      </c>
    </row>
    <row r="196" spans="1:5" x14ac:dyDescent="0.35">
      <c r="A196" s="85"/>
      <c r="B196" s="79"/>
      <c r="C196" s="86">
        <v>0</v>
      </c>
      <c r="D196" s="86">
        <v>0</v>
      </c>
      <c r="E196" s="94">
        <f t="shared" si="5"/>
        <v>0</v>
      </c>
    </row>
    <row r="197" spans="1:5" x14ac:dyDescent="0.35">
      <c r="A197" s="85"/>
      <c r="B197" s="79"/>
      <c r="C197" s="86">
        <v>0</v>
      </c>
      <c r="D197" s="86">
        <v>0</v>
      </c>
      <c r="E197" s="94">
        <f t="shared" si="5"/>
        <v>0</v>
      </c>
    </row>
    <row r="198" spans="1:5" x14ac:dyDescent="0.35">
      <c r="A198" s="85"/>
      <c r="B198" s="79"/>
      <c r="C198" s="86">
        <v>0</v>
      </c>
      <c r="D198" s="86">
        <v>0</v>
      </c>
      <c r="E198" s="94">
        <f t="shared" si="5"/>
        <v>0</v>
      </c>
    </row>
    <row r="199" spans="1:5" x14ac:dyDescent="0.35">
      <c r="A199" s="85"/>
      <c r="B199" s="79"/>
      <c r="C199" s="86">
        <v>0</v>
      </c>
      <c r="D199" s="86">
        <v>0</v>
      </c>
      <c r="E199" s="94">
        <f t="shared" si="5"/>
        <v>0</v>
      </c>
    </row>
    <row r="200" spans="1:5" x14ac:dyDescent="0.35">
      <c r="A200" s="85"/>
      <c r="B200" s="79"/>
      <c r="C200" s="86">
        <v>0</v>
      </c>
      <c r="D200" s="86">
        <v>0</v>
      </c>
      <c r="E200" s="94">
        <f t="shared" si="5"/>
        <v>0</v>
      </c>
    </row>
  </sheetData>
  <sortState xmlns:xlrd2="http://schemas.microsoft.com/office/spreadsheetml/2017/richdata2" ref="A2:E200">
    <sortCondition descending="1" ref="E2:E200"/>
    <sortCondition descending="1" ref="D2:D200"/>
    <sortCondition descending="1" ref="C2:C200"/>
  </sortState>
  <mergeCells count="2"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rds">
                <anchor moveWithCells="1" sizeWithCells="1">
                  <from>
                    <xdr:col>7</xdr:col>
                    <xdr:colOff>215900</xdr:colOff>
                    <xdr:row>5</xdr:row>
                    <xdr:rowOff>152400</xdr:rowOff>
                  </from>
                  <to>
                    <xdr:col>9</xdr:col>
                    <xdr:colOff>12700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H100"/>
  <sheetViews>
    <sheetView topLeftCell="A2" workbookViewId="0">
      <selection activeCell="D11" sqref="D11"/>
    </sheetView>
  </sheetViews>
  <sheetFormatPr defaultColWidth="8.81640625" defaultRowHeight="14.5" x14ac:dyDescent="0.35"/>
  <cols>
    <col min="1" max="1" width="16.453125" style="74" bestFit="1" customWidth="1"/>
    <col min="2" max="2" width="5.453125" style="75" bestFit="1" customWidth="1"/>
    <col min="3" max="4" width="8.81640625" style="74"/>
    <col min="5" max="5" width="9.453125" style="74" bestFit="1" customWidth="1"/>
    <col min="6" max="6" width="9.6328125" style="74" bestFit="1" customWidth="1"/>
    <col min="7" max="7" width="8.81640625" style="74"/>
    <col min="8" max="8" width="5.81640625" style="74" bestFit="1" customWidth="1"/>
    <col min="9" max="16384" width="8.81640625" style="74"/>
  </cols>
  <sheetData>
    <row r="1" spans="1:8" x14ac:dyDescent="0.35">
      <c r="A1" s="87" t="s">
        <v>456</v>
      </c>
      <c r="B1" s="87" t="s">
        <v>455</v>
      </c>
      <c r="C1" s="88" t="s">
        <v>25</v>
      </c>
      <c r="E1" s="81" t="s">
        <v>165</v>
      </c>
      <c r="F1" s="89" t="s">
        <v>166</v>
      </c>
      <c r="H1" s="76" t="s">
        <v>167</v>
      </c>
    </row>
    <row r="2" spans="1:8" x14ac:dyDescent="0.35">
      <c r="A2" s="83" t="s">
        <v>48</v>
      </c>
      <c r="B2" s="84" t="s">
        <v>453</v>
      </c>
      <c r="C2" s="79">
        <v>36</v>
      </c>
      <c r="E2" s="76">
        <f>SUMIFS($C$2:$C$100,$B$2:$B$100,"spO")</f>
        <v>114</v>
      </c>
      <c r="F2" s="76">
        <f>SUMIFS($C$2:$C$100,$B$2:$B$100,"pAL")</f>
        <v>30</v>
      </c>
      <c r="H2" s="76">
        <f>Jogos!$DH$4</f>
        <v>362</v>
      </c>
    </row>
    <row r="3" spans="1:8" x14ac:dyDescent="0.35">
      <c r="A3" s="83" t="s">
        <v>13</v>
      </c>
      <c r="B3" s="84" t="s">
        <v>453</v>
      </c>
      <c r="C3" s="79">
        <v>16</v>
      </c>
      <c r="E3" s="82">
        <f>E2/H2</f>
        <v>0.31491712707182318</v>
      </c>
      <c r="F3" s="82">
        <f>F2/H2</f>
        <v>8.2872928176795577E-2</v>
      </c>
    </row>
    <row r="4" spans="1:8" x14ac:dyDescent="0.35">
      <c r="A4" s="83" t="s">
        <v>11</v>
      </c>
      <c r="B4" s="84" t="s">
        <v>453</v>
      </c>
      <c r="C4" s="79">
        <v>9</v>
      </c>
    </row>
    <row r="5" spans="1:8" x14ac:dyDescent="0.35">
      <c r="A5" s="83" t="s">
        <v>34</v>
      </c>
      <c r="B5" s="84" t="s">
        <v>453</v>
      </c>
      <c r="C5" s="79">
        <v>8</v>
      </c>
    </row>
    <row r="6" spans="1:8" x14ac:dyDescent="0.35">
      <c r="A6" s="83" t="s">
        <v>458</v>
      </c>
      <c r="B6" s="84" t="s">
        <v>453</v>
      </c>
      <c r="C6" s="79">
        <v>8</v>
      </c>
    </row>
    <row r="7" spans="1:8" x14ac:dyDescent="0.35">
      <c r="A7" s="77" t="s">
        <v>20</v>
      </c>
      <c r="B7" s="78" t="s">
        <v>454</v>
      </c>
      <c r="C7" s="79">
        <v>7</v>
      </c>
    </row>
    <row r="8" spans="1:8" x14ac:dyDescent="0.35">
      <c r="A8" s="83" t="s">
        <v>201</v>
      </c>
      <c r="B8" s="84" t="s">
        <v>453</v>
      </c>
      <c r="C8" s="79">
        <v>6</v>
      </c>
    </row>
    <row r="9" spans="1:8" x14ac:dyDescent="0.35">
      <c r="A9" s="77" t="s">
        <v>200</v>
      </c>
      <c r="B9" s="78" t="s">
        <v>454</v>
      </c>
      <c r="C9" s="79">
        <v>6</v>
      </c>
    </row>
    <row r="10" spans="1:8" x14ac:dyDescent="0.35">
      <c r="A10" s="83" t="s">
        <v>10</v>
      </c>
      <c r="B10" s="84" t="s">
        <v>453</v>
      </c>
      <c r="C10" s="79">
        <v>5</v>
      </c>
    </row>
    <row r="11" spans="1:8" x14ac:dyDescent="0.35">
      <c r="A11" s="83" t="s">
        <v>29</v>
      </c>
      <c r="B11" s="84" t="s">
        <v>453</v>
      </c>
      <c r="C11" s="79">
        <v>4</v>
      </c>
    </row>
    <row r="12" spans="1:8" x14ac:dyDescent="0.35">
      <c r="A12" s="83" t="s">
        <v>39</v>
      </c>
      <c r="B12" s="84" t="s">
        <v>453</v>
      </c>
      <c r="C12" s="79">
        <v>3</v>
      </c>
    </row>
    <row r="13" spans="1:8" x14ac:dyDescent="0.35">
      <c r="A13" s="83" t="s">
        <v>87</v>
      </c>
      <c r="B13" s="84" t="s">
        <v>453</v>
      </c>
      <c r="C13" s="79">
        <v>3</v>
      </c>
    </row>
    <row r="14" spans="1:8" x14ac:dyDescent="0.35">
      <c r="A14" s="77" t="s">
        <v>480</v>
      </c>
      <c r="B14" s="78" t="s">
        <v>454</v>
      </c>
      <c r="C14" s="79">
        <v>3</v>
      </c>
    </row>
    <row r="15" spans="1:8" x14ac:dyDescent="0.35">
      <c r="A15" s="77" t="s">
        <v>478</v>
      </c>
      <c r="B15" s="78" t="s">
        <v>454</v>
      </c>
      <c r="C15" s="79">
        <v>3</v>
      </c>
    </row>
    <row r="16" spans="1:8" x14ac:dyDescent="0.35">
      <c r="A16" s="83" t="s">
        <v>40</v>
      </c>
      <c r="B16" s="84" t="s">
        <v>453</v>
      </c>
      <c r="C16" s="79">
        <v>2</v>
      </c>
    </row>
    <row r="17" spans="1:3" x14ac:dyDescent="0.35">
      <c r="A17" s="77" t="s">
        <v>15</v>
      </c>
      <c r="B17" s="78" t="s">
        <v>454</v>
      </c>
      <c r="C17" s="79">
        <v>2</v>
      </c>
    </row>
    <row r="18" spans="1:3" x14ac:dyDescent="0.35">
      <c r="A18" s="83" t="s">
        <v>145</v>
      </c>
      <c r="B18" s="84" t="s">
        <v>453</v>
      </c>
      <c r="C18" s="79">
        <v>2</v>
      </c>
    </row>
    <row r="19" spans="1:3" x14ac:dyDescent="0.35">
      <c r="A19" s="77" t="s">
        <v>72</v>
      </c>
      <c r="B19" s="78" t="s">
        <v>454</v>
      </c>
      <c r="C19" s="79">
        <v>2</v>
      </c>
    </row>
    <row r="20" spans="1:3" x14ac:dyDescent="0.35">
      <c r="A20" s="83" t="s">
        <v>479</v>
      </c>
      <c r="B20" s="84" t="s">
        <v>453</v>
      </c>
      <c r="C20" s="79">
        <v>2</v>
      </c>
    </row>
    <row r="21" spans="1:3" x14ac:dyDescent="0.35">
      <c r="A21" s="83" t="s">
        <v>69</v>
      </c>
      <c r="B21" s="84" t="s">
        <v>453</v>
      </c>
      <c r="C21" s="79">
        <v>2</v>
      </c>
    </row>
    <row r="22" spans="1:3" x14ac:dyDescent="0.35">
      <c r="A22" s="83" t="s">
        <v>629</v>
      </c>
      <c r="B22" s="84" t="s">
        <v>453</v>
      </c>
      <c r="C22" s="79">
        <v>2</v>
      </c>
    </row>
    <row r="23" spans="1:3" x14ac:dyDescent="0.35">
      <c r="A23" s="77" t="s">
        <v>57</v>
      </c>
      <c r="B23" s="78" t="s">
        <v>454</v>
      </c>
      <c r="C23" s="79">
        <v>1</v>
      </c>
    </row>
    <row r="24" spans="1:3" x14ac:dyDescent="0.35">
      <c r="A24" s="77" t="s">
        <v>22</v>
      </c>
      <c r="B24" s="78" t="s">
        <v>454</v>
      </c>
      <c r="C24" s="79">
        <v>1</v>
      </c>
    </row>
    <row r="25" spans="1:3" x14ac:dyDescent="0.35">
      <c r="A25" s="83" t="s">
        <v>72</v>
      </c>
      <c r="B25" s="84" t="s">
        <v>453</v>
      </c>
      <c r="C25" s="79">
        <v>1</v>
      </c>
    </row>
    <row r="26" spans="1:3" x14ac:dyDescent="0.35">
      <c r="A26" s="77" t="s">
        <v>35</v>
      </c>
      <c r="B26" s="78" t="s">
        <v>454</v>
      </c>
      <c r="C26" s="79">
        <v>1</v>
      </c>
    </row>
    <row r="27" spans="1:3" x14ac:dyDescent="0.35">
      <c r="A27" s="83" t="s">
        <v>50</v>
      </c>
      <c r="B27" s="84" t="s">
        <v>453</v>
      </c>
      <c r="C27" s="79">
        <v>1</v>
      </c>
    </row>
    <row r="28" spans="1:3" x14ac:dyDescent="0.35">
      <c r="A28" s="83" t="s">
        <v>44</v>
      </c>
      <c r="B28" s="84" t="s">
        <v>453</v>
      </c>
      <c r="C28" s="79">
        <v>1</v>
      </c>
    </row>
    <row r="29" spans="1:3" x14ac:dyDescent="0.35">
      <c r="A29" s="77" t="s">
        <v>182</v>
      </c>
      <c r="B29" s="78" t="s">
        <v>454</v>
      </c>
      <c r="C29" s="79">
        <v>1</v>
      </c>
    </row>
    <row r="30" spans="1:3" x14ac:dyDescent="0.35">
      <c r="A30" s="77" t="s">
        <v>31</v>
      </c>
      <c r="B30" s="78" t="s">
        <v>454</v>
      </c>
      <c r="C30" s="79">
        <v>1</v>
      </c>
    </row>
    <row r="31" spans="1:3" x14ac:dyDescent="0.35">
      <c r="A31" s="77" t="s">
        <v>88</v>
      </c>
      <c r="B31" s="78" t="s">
        <v>454</v>
      </c>
      <c r="C31" s="79">
        <v>1</v>
      </c>
    </row>
    <row r="32" spans="1:3" x14ac:dyDescent="0.35">
      <c r="A32" s="83" t="s">
        <v>12</v>
      </c>
      <c r="B32" s="84" t="s">
        <v>453</v>
      </c>
      <c r="C32" s="79">
        <v>1</v>
      </c>
    </row>
    <row r="33" spans="1:3" x14ac:dyDescent="0.35">
      <c r="A33" s="77" t="s">
        <v>338</v>
      </c>
      <c r="B33" s="78" t="s">
        <v>454</v>
      </c>
      <c r="C33" s="79">
        <v>1</v>
      </c>
    </row>
    <row r="34" spans="1:3" x14ac:dyDescent="0.35">
      <c r="A34" s="83" t="s">
        <v>228</v>
      </c>
      <c r="B34" s="84" t="s">
        <v>453</v>
      </c>
      <c r="C34" s="79">
        <v>1</v>
      </c>
    </row>
    <row r="35" spans="1:3" x14ac:dyDescent="0.35">
      <c r="A35" s="83" t="s">
        <v>685</v>
      </c>
      <c r="B35" s="84" t="s">
        <v>453</v>
      </c>
      <c r="C35" s="79">
        <v>1</v>
      </c>
    </row>
    <row r="36" spans="1:3" x14ac:dyDescent="0.35">
      <c r="A36" s="85" t="s">
        <v>399</v>
      </c>
      <c r="B36" s="79" t="s">
        <v>399</v>
      </c>
      <c r="C36" s="79">
        <v>0</v>
      </c>
    </row>
    <row r="37" spans="1:3" x14ac:dyDescent="0.35">
      <c r="A37" s="85" t="s">
        <v>399</v>
      </c>
      <c r="B37" s="79" t="s">
        <v>399</v>
      </c>
      <c r="C37" s="79">
        <v>0</v>
      </c>
    </row>
    <row r="38" spans="1:3" x14ac:dyDescent="0.35">
      <c r="A38" s="85" t="s">
        <v>399</v>
      </c>
      <c r="B38" s="79" t="s">
        <v>399</v>
      </c>
      <c r="C38" s="79">
        <v>0</v>
      </c>
    </row>
    <row r="39" spans="1:3" x14ac:dyDescent="0.35">
      <c r="A39" s="85" t="s">
        <v>399</v>
      </c>
      <c r="B39" s="79" t="s">
        <v>399</v>
      </c>
      <c r="C39" s="79">
        <v>0</v>
      </c>
    </row>
    <row r="40" spans="1:3" x14ac:dyDescent="0.35">
      <c r="A40" s="85" t="s">
        <v>399</v>
      </c>
      <c r="B40" s="79" t="s">
        <v>399</v>
      </c>
      <c r="C40" s="79">
        <v>0</v>
      </c>
    </row>
    <row r="41" spans="1:3" x14ac:dyDescent="0.35">
      <c r="A41" s="85" t="s">
        <v>399</v>
      </c>
      <c r="B41" s="79" t="s">
        <v>399</v>
      </c>
      <c r="C41" s="79">
        <v>0</v>
      </c>
    </row>
    <row r="42" spans="1:3" x14ac:dyDescent="0.35">
      <c r="A42" s="85" t="s">
        <v>399</v>
      </c>
      <c r="B42" s="79" t="s">
        <v>399</v>
      </c>
      <c r="C42" s="79">
        <v>0</v>
      </c>
    </row>
    <row r="43" spans="1:3" x14ac:dyDescent="0.35">
      <c r="A43" s="85" t="s">
        <v>399</v>
      </c>
      <c r="B43" s="79" t="s">
        <v>399</v>
      </c>
      <c r="C43" s="79">
        <v>0</v>
      </c>
    </row>
    <row r="44" spans="1:3" x14ac:dyDescent="0.35">
      <c r="A44" s="85" t="s">
        <v>399</v>
      </c>
      <c r="B44" s="79" t="s">
        <v>399</v>
      </c>
      <c r="C44" s="79">
        <v>0</v>
      </c>
    </row>
    <row r="45" spans="1:3" x14ac:dyDescent="0.35">
      <c r="A45" s="85" t="s">
        <v>399</v>
      </c>
      <c r="B45" s="79" t="s">
        <v>399</v>
      </c>
      <c r="C45" s="79">
        <v>0</v>
      </c>
    </row>
    <row r="46" spans="1:3" x14ac:dyDescent="0.35">
      <c r="A46" s="85" t="s">
        <v>399</v>
      </c>
      <c r="B46" s="79" t="s">
        <v>399</v>
      </c>
      <c r="C46" s="79">
        <v>0</v>
      </c>
    </row>
    <row r="47" spans="1:3" x14ac:dyDescent="0.35">
      <c r="A47" s="85" t="s">
        <v>399</v>
      </c>
      <c r="B47" s="79" t="s">
        <v>399</v>
      </c>
      <c r="C47" s="79">
        <v>0</v>
      </c>
    </row>
    <row r="48" spans="1:3" x14ac:dyDescent="0.35">
      <c r="A48" s="85" t="s">
        <v>399</v>
      </c>
      <c r="B48" s="79" t="s">
        <v>399</v>
      </c>
      <c r="C48" s="79">
        <v>0</v>
      </c>
    </row>
    <row r="49" spans="1:3" x14ac:dyDescent="0.35">
      <c r="A49" s="85" t="s">
        <v>399</v>
      </c>
      <c r="B49" s="79" t="s">
        <v>399</v>
      </c>
      <c r="C49" s="79">
        <v>0</v>
      </c>
    </row>
    <row r="50" spans="1:3" x14ac:dyDescent="0.35">
      <c r="A50" s="85" t="s">
        <v>399</v>
      </c>
      <c r="B50" s="79" t="s">
        <v>399</v>
      </c>
      <c r="C50" s="79">
        <v>0</v>
      </c>
    </row>
    <row r="51" spans="1:3" x14ac:dyDescent="0.35">
      <c r="A51" s="85" t="s">
        <v>399</v>
      </c>
      <c r="B51" s="79" t="s">
        <v>399</v>
      </c>
      <c r="C51" s="79">
        <v>0</v>
      </c>
    </row>
    <row r="52" spans="1:3" x14ac:dyDescent="0.35">
      <c r="A52" s="85" t="s">
        <v>399</v>
      </c>
      <c r="B52" s="79" t="s">
        <v>399</v>
      </c>
      <c r="C52" s="79">
        <v>0</v>
      </c>
    </row>
    <row r="53" spans="1:3" x14ac:dyDescent="0.35">
      <c r="A53" s="85" t="s">
        <v>399</v>
      </c>
      <c r="B53" s="79" t="s">
        <v>399</v>
      </c>
      <c r="C53" s="79">
        <v>0</v>
      </c>
    </row>
    <row r="54" spans="1:3" x14ac:dyDescent="0.35">
      <c r="A54" s="85" t="s">
        <v>399</v>
      </c>
      <c r="B54" s="79" t="s">
        <v>399</v>
      </c>
      <c r="C54" s="79">
        <v>0</v>
      </c>
    </row>
    <row r="55" spans="1:3" x14ac:dyDescent="0.35">
      <c r="A55" s="85" t="s">
        <v>399</v>
      </c>
      <c r="B55" s="79" t="s">
        <v>399</v>
      </c>
      <c r="C55" s="79">
        <v>0</v>
      </c>
    </row>
    <row r="56" spans="1:3" x14ac:dyDescent="0.35">
      <c r="A56" s="85" t="s">
        <v>399</v>
      </c>
      <c r="B56" s="79" t="s">
        <v>399</v>
      </c>
      <c r="C56" s="79">
        <v>0</v>
      </c>
    </row>
    <row r="57" spans="1:3" x14ac:dyDescent="0.35">
      <c r="A57" s="85" t="s">
        <v>399</v>
      </c>
      <c r="B57" s="79" t="s">
        <v>399</v>
      </c>
      <c r="C57" s="79">
        <v>0</v>
      </c>
    </row>
    <row r="58" spans="1:3" x14ac:dyDescent="0.35">
      <c r="A58" s="85" t="s">
        <v>399</v>
      </c>
      <c r="B58" s="79" t="s">
        <v>399</v>
      </c>
      <c r="C58" s="79">
        <v>0</v>
      </c>
    </row>
    <row r="59" spans="1:3" x14ac:dyDescent="0.35">
      <c r="A59" s="85" t="s">
        <v>399</v>
      </c>
      <c r="B59" s="79" t="s">
        <v>399</v>
      </c>
      <c r="C59" s="79">
        <v>0</v>
      </c>
    </row>
    <row r="60" spans="1:3" x14ac:dyDescent="0.35">
      <c r="A60" s="85" t="s">
        <v>399</v>
      </c>
      <c r="B60" s="79" t="s">
        <v>399</v>
      </c>
      <c r="C60" s="79">
        <v>0</v>
      </c>
    </row>
    <row r="61" spans="1:3" x14ac:dyDescent="0.35">
      <c r="A61" s="85" t="s">
        <v>399</v>
      </c>
      <c r="B61" s="79" t="s">
        <v>399</v>
      </c>
      <c r="C61" s="79">
        <v>0</v>
      </c>
    </row>
    <row r="62" spans="1:3" x14ac:dyDescent="0.35">
      <c r="A62" s="85" t="s">
        <v>399</v>
      </c>
      <c r="B62" s="79" t="s">
        <v>399</v>
      </c>
      <c r="C62" s="79">
        <v>0</v>
      </c>
    </row>
    <row r="63" spans="1:3" x14ac:dyDescent="0.35">
      <c r="A63" s="85" t="s">
        <v>399</v>
      </c>
      <c r="B63" s="79" t="s">
        <v>399</v>
      </c>
      <c r="C63" s="79">
        <v>0</v>
      </c>
    </row>
    <row r="64" spans="1:3" x14ac:dyDescent="0.35">
      <c r="A64" s="85" t="s">
        <v>399</v>
      </c>
      <c r="B64" s="79" t="s">
        <v>399</v>
      </c>
      <c r="C64" s="79">
        <v>0</v>
      </c>
    </row>
    <row r="65" spans="1:3" x14ac:dyDescent="0.35">
      <c r="A65" s="85" t="s">
        <v>399</v>
      </c>
      <c r="B65" s="79" t="s">
        <v>399</v>
      </c>
      <c r="C65" s="79">
        <v>0</v>
      </c>
    </row>
    <row r="66" spans="1:3" x14ac:dyDescent="0.35">
      <c r="A66" s="85" t="s">
        <v>399</v>
      </c>
      <c r="B66" s="79" t="s">
        <v>399</v>
      </c>
      <c r="C66" s="79">
        <v>0</v>
      </c>
    </row>
    <row r="67" spans="1:3" x14ac:dyDescent="0.35">
      <c r="A67" s="85" t="s">
        <v>399</v>
      </c>
      <c r="B67" s="79" t="s">
        <v>399</v>
      </c>
      <c r="C67" s="79">
        <v>0</v>
      </c>
    </row>
    <row r="68" spans="1:3" x14ac:dyDescent="0.35">
      <c r="A68" s="85" t="s">
        <v>399</v>
      </c>
      <c r="B68" s="79" t="s">
        <v>399</v>
      </c>
      <c r="C68" s="79">
        <v>0</v>
      </c>
    </row>
    <row r="69" spans="1:3" x14ac:dyDescent="0.35">
      <c r="A69" s="85" t="s">
        <v>399</v>
      </c>
      <c r="B69" s="79" t="s">
        <v>399</v>
      </c>
      <c r="C69" s="79">
        <v>0</v>
      </c>
    </row>
    <row r="70" spans="1:3" x14ac:dyDescent="0.35">
      <c r="A70" s="85" t="s">
        <v>399</v>
      </c>
      <c r="B70" s="79" t="s">
        <v>399</v>
      </c>
      <c r="C70" s="79">
        <v>0</v>
      </c>
    </row>
    <row r="71" spans="1:3" x14ac:dyDescent="0.35">
      <c r="A71" s="85" t="s">
        <v>399</v>
      </c>
      <c r="B71" s="79" t="s">
        <v>399</v>
      </c>
      <c r="C71" s="79">
        <v>0</v>
      </c>
    </row>
    <row r="72" spans="1:3" x14ac:dyDescent="0.35">
      <c r="A72" s="85" t="s">
        <v>399</v>
      </c>
      <c r="B72" s="79" t="s">
        <v>399</v>
      </c>
      <c r="C72" s="79">
        <v>0</v>
      </c>
    </row>
    <row r="73" spans="1:3" x14ac:dyDescent="0.35">
      <c r="A73" s="85" t="s">
        <v>399</v>
      </c>
      <c r="B73" s="79" t="s">
        <v>399</v>
      </c>
      <c r="C73" s="79">
        <v>0</v>
      </c>
    </row>
    <row r="74" spans="1:3" x14ac:dyDescent="0.35">
      <c r="A74" s="85" t="s">
        <v>399</v>
      </c>
      <c r="B74" s="79" t="s">
        <v>399</v>
      </c>
      <c r="C74" s="79">
        <v>0</v>
      </c>
    </row>
    <row r="75" spans="1:3" x14ac:dyDescent="0.35">
      <c r="A75" s="85" t="s">
        <v>399</v>
      </c>
      <c r="B75" s="79" t="s">
        <v>399</v>
      </c>
      <c r="C75" s="79">
        <v>0</v>
      </c>
    </row>
    <row r="76" spans="1:3" x14ac:dyDescent="0.35">
      <c r="A76" s="85" t="s">
        <v>399</v>
      </c>
      <c r="B76" s="79" t="s">
        <v>399</v>
      </c>
      <c r="C76" s="79">
        <v>0</v>
      </c>
    </row>
    <row r="77" spans="1:3" x14ac:dyDescent="0.35">
      <c r="A77" s="85" t="s">
        <v>399</v>
      </c>
      <c r="B77" s="79" t="s">
        <v>399</v>
      </c>
      <c r="C77" s="79">
        <v>0</v>
      </c>
    </row>
    <row r="78" spans="1:3" x14ac:dyDescent="0.35">
      <c r="A78" s="85" t="s">
        <v>399</v>
      </c>
      <c r="B78" s="79" t="s">
        <v>399</v>
      </c>
      <c r="C78" s="79">
        <v>0</v>
      </c>
    </row>
    <row r="79" spans="1:3" x14ac:dyDescent="0.35">
      <c r="A79" s="85" t="s">
        <v>399</v>
      </c>
      <c r="B79" s="79" t="s">
        <v>399</v>
      </c>
      <c r="C79" s="79">
        <v>0</v>
      </c>
    </row>
    <row r="80" spans="1:3" x14ac:dyDescent="0.35">
      <c r="A80" s="85" t="s">
        <v>399</v>
      </c>
      <c r="B80" s="79" t="s">
        <v>399</v>
      </c>
      <c r="C80" s="79">
        <v>0</v>
      </c>
    </row>
    <row r="81" spans="1:3" x14ac:dyDescent="0.35">
      <c r="A81" s="85" t="s">
        <v>399</v>
      </c>
      <c r="B81" s="79" t="s">
        <v>399</v>
      </c>
      <c r="C81" s="79">
        <v>0</v>
      </c>
    </row>
    <row r="82" spans="1:3" x14ac:dyDescent="0.35">
      <c r="A82" s="85" t="s">
        <v>399</v>
      </c>
      <c r="B82" s="79" t="s">
        <v>399</v>
      </c>
      <c r="C82" s="79">
        <v>0</v>
      </c>
    </row>
    <row r="83" spans="1:3" x14ac:dyDescent="0.35">
      <c r="A83" s="85" t="s">
        <v>399</v>
      </c>
      <c r="B83" s="79" t="s">
        <v>399</v>
      </c>
      <c r="C83" s="79">
        <v>0</v>
      </c>
    </row>
    <row r="84" spans="1:3" x14ac:dyDescent="0.35">
      <c r="A84" s="85" t="s">
        <v>399</v>
      </c>
      <c r="B84" s="79" t="s">
        <v>399</v>
      </c>
      <c r="C84" s="79">
        <v>0</v>
      </c>
    </row>
    <row r="85" spans="1:3" x14ac:dyDescent="0.35">
      <c r="A85" s="85" t="s">
        <v>399</v>
      </c>
      <c r="B85" s="79" t="s">
        <v>399</v>
      </c>
      <c r="C85" s="79">
        <v>0</v>
      </c>
    </row>
    <row r="86" spans="1:3" x14ac:dyDescent="0.35">
      <c r="A86" s="85" t="s">
        <v>399</v>
      </c>
      <c r="B86" s="79" t="s">
        <v>399</v>
      </c>
      <c r="C86" s="79">
        <v>0</v>
      </c>
    </row>
    <row r="87" spans="1:3" x14ac:dyDescent="0.35">
      <c r="A87" s="85" t="s">
        <v>399</v>
      </c>
      <c r="B87" s="79" t="s">
        <v>399</v>
      </c>
      <c r="C87" s="79">
        <v>0</v>
      </c>
    </row>
    <row r="88" spans="1:3" x14ac:dyDescent="0.35">
      <c r="A88" s="85" t="s">
        <v>399</v>
      </c>
      <c r="B88" s="79" t="s">
        <v>399</v>
      </c>
      <c r="C88" s="79">
        <v>0</v>
      </c>
    </row>
    <row r="89" spans="1:3" x14ac:dyDescent="0.35">
      <c r="A89" s="85" t="s">
        <v>399</v>
      </c>
      <c r="B89" s="79" t="s">
        <v>399</v>
      </c>
      <c r="C89" s="79">
        <v>0</v>
      </c>
    </row>
    <row r="90" spans="1:3" x14ac:dyDescent="0.35">
      <c r="A90" s="85" t="s">
        <v>399</v>
      </c>
      <c r="B90" s="79" t="s">
        <v>399</v>
      </c>
      <c r="C90" s="79">
        <v>0</v>
      </c>
    </row>
    <row r="91" spans="1:3" x14ac:dyDescent="0.35">
      <c r="A91" s="85" t="s">
        <v>399</v>
      </c>
      <c r="B91" s="79" t="s">
        <v>399</v>
      </c>
      <c r="C91" s="79">
        <v>0</v>
      </c>
    </row>
    <row r="92" spans="1:3" x14ac:dyDescent="0.35">
      <c r="A92" s="85" t="s">
        <v>399</v>
      </c>
      <c r="B92" s="79" t="s">
        <v>399</v>
      </c>
      <c r="C92" s="79">
        <v>0</v>
      </c>
    </row>
    <row r="93" spans="1:3" x14ac:dyDescent="0.35">
      <c r="A93" s="85" t="s">
        <v>399</v>
      </c>
      <c r="B93" s="79" t="s">
        <v>399</v>
      </c>
      <c r="C93" s="79">
        <v>0</v>
      </c>
    </row>
    <row r="94" spans="1:3" x14ac:dyDescent="0.35">
      <c r="A94" s="85" t="s">
        <v>399</v>
      </c>
      <c r="B94" s="79" t="s">
        <v>399</v>
      </c>
      <c r="C94" s="79">
        <v>0</v>
      </c>
    </row>
    <row r="95" spans="1:3" x14ac:dyDescent="0.35">
      <c r="A95" s="85" t="s">
        <v>399</v>
      </c>
      <c r="B95" s="79" t="s">
        <v>399</v>
      </c>
      <c r="C95" s="79">
        <v>0</v>
      </c>
    </row>
    <row r="96" spans="1:3" x14ac:dyDescent="0.35">
      <c r="A96" s="85" t="s">
        <v>399</v>
      </c>
      <c r="B96" s="79" t="s">
        <v>399</v>
      </c>
      <c r="C96" s="79">
        <v>0</v>
      </c>
    </row>
    <row r="97" spans="1:3" x14ac:dyDescent="0.35">
      <c r="A97" s="85" t="s">
        <v>399</v>
      </c>
      <c r="B97" s="79" t="s">
        <v>399</v>
      </c>
      <c r="C97" s="79">
        <v>0</v>
      </c>
    </row>
    <row r="98" spans="1:3" x14ac:dyDescent="0.35">
      <c r="A98" s="85" t="s">
        <v>399</v>
      </c>
      <c r="B98" s="79" t="s">
        <v>399</v>
      </c>
      <c r="C98" s="79">
        <v>0</v>
      </c>
    </row>
    <row r="99" spans="1:3" x14ac:dyDescent="0.35">
      <c r="A99" s="85" t="s">
        <v>399</v>
      </c>
      <c r="B99" s="79" t="s">
        <v>399</v>
      </c>
      <c r="C99" s="79">
        <v>0</v>
      </c>
    </row>
    <row r="100" spans="1:3" x14ac:dyDescent="0.35">
      <c r="A100" s="85" t="s">
        <v>399</v>
      </c>
      <c r="B100" s="79" t="s">
        <v>399</v>
      </c>
      <c r="C100" s="79">
        <v>0</v>
      </c>
    </row>
  </sheetData>
  <sortState xmlns:xlrd2="http://schemas.microsoft.com/office/spreadsheetml/2017/richdata2" ref="A2:C100">
    <sortCondition descending="1" ref="C2:C100"/>
  </sortState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ESOES">
                <anchor moveWithCells="1" sizeWithCells="1">
                  <from>
                    <xdr:col>4</xdr:col>
                    <xdr:colOff>406400</xdr:colOff>
                    <xdr:row>5</xdr:row>
                    <xdr:rowOff>12700</xdr:rowOff>
                  </from>
                  <to>
                    <xdr:col>5</xdr:col>
                    <xdr:colOff>635000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G3"/>
  <sheetViews>
    <sheetView workbookViewId="0">
      <selection activeCell="C3" sqref="C3"/>
    </sheetView>
  </sheetViews>
  <sheetFormatPr defaultColWidth="8.81640625" defaultRowHeight="14.5" x14ac:dyDescent="0.35"/>
  <cols>
    <col min="1" max="1" width="6.36328125" bestFit="1" customWidth="1"/>
    <col min="2" max="2" width="5.6328125" bestFit="1" customWidth="1"/>
    <col min="3" max="3" width="13.453125" customWidth="1"/>
    <col min="4" max="4" width="6.6328125" bestFit="1" customWidth="1"/>
    <col min="5" max="5" width="6.81640625" bestFit="1" customWidth="1"/>
    <col min="6" max="7" width="7" bestFit="1" customWidth="1"/>
  </cols>
  <sheetData>
    <row r="1" spans="1:7" x14ac:dyDescent="0.35">
      <c r="B1" s="50" t="s">
        <v>24</v>
      </c>
      <c r="C1" s="50" t="s">
        <v>203</v>
      </c>
      <c r="D1" s="50" t="s">
        <v>224</v>
      </c>
      <c r="E1" s="50" t="s">
        <v>225</v>
      </c>
      <c r="F1" s="50" t="s">
        <v>189</v>
      </c>
      <c r="G1" s="22" t="s">
        <v>204</v>
      </c>
    </row>
    <row r="2" spans="1:7" x14ac:dyDescent="0.35">
      <c r="A2" s="5" t="s">
        <v>201</v>
      </c>
      <c r="B2" s="15">
        <v>5</v>
      </c>
      <c r="C2" s="15">
        <v>14</v>
      </c>
      <c r="D2" s="52">
        <v>86</v>
      </c>
      <c r="E2" s="52">
        <f>Jogos!$DH$4</f>
        <v>362</v>
      </c>
      <c r="F2" s="15">
        <f>E2-D2</f>
        <v>276</v>
      </c>
      <c r="G2" s="49">
        <f>B2/F2</f>
        <v>1.8115942028985508E-2</v>
      </c>
    </row>
    <row r="3" spans="1:7" x14ac:dyDescent="0.35">
      <c r="A3" s="9" t="s">
        <v>200</v>
      </c>
      <c r="B3" s="15">
        <f>12-5</f>
        <v>7</v>
      </c>
      <c r="C3" s="15">
        <v>8</v>
      </c>
      <c r="D3" s="52">
        <v>86</v>
      </c>
      <c r="E3" s="52">
        <f>Jogos!$DH$4</f>
        <v>362</v>
      </c>
      <c r="F3" s="15">
        <f>E3-D3</f>
        <v>276</v>
      </c>
      <c r="G3" s="49">
        <f>B3/F3</f>
        <v>2.5362318840579712E-2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P32"/>
  <sheetViews>
    <sheetView tabSelected="1" workbookViewId="0">
      <selection activeCell="S26" sqref="S26"/>
    </sheetView>
  </sheetViews>
  <sheetFormatPr defaultColWidth="8.81640625" defaultRowHeight="14.5" x14ac:dyDescent="0.35"/>
  <cols>
    <col min="1" max="1" width="3.453125" bestFit="1" customWidth="1"/>
    <col min="2" max="2" width="5" style="1" bestFit="1" customWidth="1"/>
    <col min="3" max="3" width="17.36328125" bestFit="1" customWidth="1"/>
    <col min="4" max="4" width="4.453125" bestFit="1" customWidth="1"/>
    <col min="5" max="5" width="8.6328125" bestFit="1" customWidth="1"/>
    <col min="6" max="6" width="3.6328125" bestFit="1" customWidth="1"/>
    <col min="9" max="9" width="3.453125" bestFit="1" customWidth="1"/>
    <col min="10" max="10" width="4.453125" bestFit="1" customWidth="1"/>
    <col min="11" max="11" width="16.453125" bestFit="1" customWidth="1"/>
    <col min="12" max="12" width="4.453125" bestFit="1" customWidth="1"/>
    <col min="13" max="13" width="8.6328125" bestFit="1" customWidth="1"/>
    <col min="14" max="14" width="3.81640625" bestFit="1" customWidth="1"/>
    <col min="15" max="15" width="7.6328125" bestFit="1" customWidth="1"/>
    <col min="16" max="16" width="12.453125" bestFit="1" customWidth="1"/>
  </cols>
  <sheetData>
    <row r="1" spans="1:16" x14ac:dyDescent="0.35">
      <c r="A1" s="111" t="s">
        <v>347</v>
      </c>
      <c r="B1" s="111"/>
      <c r="C1" s="111"/>
      <c r="D1" s="111"/>
      <c r="E1" s="111"/>
      <c r="F1" s="111"/>
      <c r="G1" s="111"/>
      <c r="I1" s="111" t="s">
        <v>348</v>
      </c>
      <c r="J1" s="111"/>
      <c r="K1" s="111"/>
      <c r="L1" s="111"/>
      <c r="M1" s="111"/>
      <c r="N1" s="111"/>
      <c r="O1" s="111"/>
    </row>
    <row r="2" spans="1:16" x14ac:dyDescent="0.35">
      <c r="A2" s="68" t="s">
        <v>299</v>
      </c>
      <c r="B2" s="69" t="s">
        <v>300</v>
      </c>
      <c r="C2" s="69" t="s">
        <v>165</v>
      </c>
      <c r="D2" s="69" t="s">
        <v>250</v>
      </c>
      <c r="E2" s="69" t="s">
        <v>251</v>
      </c>
      <c r="F2" s="69" t="s">
        <v>252</v>
      </c>
      <c r="G2" s="22" t="s">
        <v>204</v>
      </c>
      <c r="I2" s="68" t="s">
        <v>299</v>
      </c>
      <c r="J2" s="69" t="s">
        <v>300</v>
      </c>
      <c r="K2" s="69" t="s">
        <v>165</v>
      </c>
      <c r="L2" s="69" t="s">
        <v>250</v>
      </c>
      <c r="M2" s="69" t="s">
        <v>251</v>
      </c>
      <c r="N2" s="69" t="s">
        <v>252</v>
      </c>
      <c r="O2" s="22" t="s">
        <v>204</v>
      </c>
    </row>
    <row r="3" spans="1:16" x14ac:dyDescent="0.35">
      <c r="A3" s="15">
        <v>9</v>
      </c>
      <c r="B3" s="57" t="s">
        <v>295</v>
      </c>
      <c r="C3" s="4" t="s">
        <v>48</v>
      </c>
      <c r="D3" s="59">
        <v>82</v>
      </c>
      <c r="E3" s="59">
        <v>85</v>
      </c>
      <c r="F3" s="15"/>
      <c r="G3" s="64">
        <f>AVERAGE(D3:E3:F3)</f>
        <v>83.5</v>
      </c>
      <c r="H3" s="1"/>
      <c r="I3" s="15"/>
      <c r="J3" s="56" t="s">
        <v>288</v>
      </c>
      <c r="K3" s="4" t="s">
        <v>29</v>
      </c>
      <c r="L3" s="15"/>
      <c r="M3" s="60">
        <v>75</v>
      </c>
      <c r="N3" s="15"/>
      <c r="O3" s="63">
        <f>AVERAGE(L3:M3:N3)</f>
        <v>75</v>
      </c>
      <c r="P3" t="s">
        <v>362</v>
      </c>
    </row>
    <row r="4" spans="1:16" x14ac:dyDescent="0.35">
      <c r="A4" s="15">
        <v>19</v>
      </c>
      <c r="B4" s="57" t="s">
        <v>295</v>
      </c>
      <c r="C4" s="4" t="s">
        <v>257</v>
      </c>
      <c r="D4" s="15">
        <v>73</v>
      </c>
      <c r="E4" s="15">
        <v>74</v>
      </c>
      <c r="F4" s="15"/>
      <c r="G4" s="55">
        <f>AVERAGE(D4:E4:F4)</f>
        <v>73.5</v>
      </c>
      <c r="I4" s="15"/>
      <c r="J4" s="58" t="s">
        <v>289</v>
      </c>
      <c r="K4" s="4" t="s">
        <v>331</v>
      </c>
      <c r="L4" s="15"/>
      <c r="M4" s="15">
        <v>72</v>
      </c>
      <c r="N4" s="15"/>
      <c r="O4" s="54">
        <f>AVERAGE(L4:M4:N4)</f>
        <v>72</v>
      </c>
      <c r="P4" t="s">
        <v>363</v>
      </c>
    </row>
    <row r="5" spans="1:16" x14ac:dyDescent="0.35">
      <c r="A5" s="15">
        <v>33</v>
      </c>
      <c r="B5" s="61" t="s">
        <v>291</v>
      </c>
      <c r="C5" s="4" t="s">
        <v>255</v>
      </c>
      <c r="D5" s="59">
        <v>80</v>
      </c>
      <c r="E5" s="60">
        <v>77</v>
      </c>
      <c r="F5" s="15"/>
      <c r="G5" s="62">
        <f>AVERAGE(D5:E5:F5)</f>
        <v>78.5</v>
      </c>
      <c r="I5" s="15"/>
      <c r="J5" s="58" t="s">
        <v>286</v>
      </c>
      <c r="K5" s="4" t="s">
        <v>248</v>
      </c>
      <c r="L5" s="15"/>
      <c r="M5" s="59">
        <v>83</v>
      </c>
      <c r="N5" s="15"/>
      <c r="O5" s="65">
        <f>AVERAGE(L5:M5:N5)</f>
        <v>83</v>
      </c>
      <c r="P5" t="s">
        <v>364</v>
      </c>
    </row>
    <row r="6" spans="1:16" x14ac:dyDescent="0.35">
      <c r="A6" s="15">
        <v>40</v>
      </c>
      <c r="B6" s="61" t="s">
        <v>291</v>
      </c>
      <c r="C6" s="4" t="s">
        <v>266</v>
      </c>
      <c r="D6" s="15"/>
      <c r="E6" s="15">
        <v>72</v>
      </c>
      <c r="F6" s="15">
        <v>59</v>
      </c>
      <c r="G6" s="55">
        <f>AVERAGE(D6:E6:F6)</f>
        <v>65.5</v>
      </c>
      <c r="I6" s="15"/>
      <c r="J6" s="57" t="s">
        <v>292</v>
      </c>
      <c r="K6" s="4" t="s">
        <v>12</v>
      </c>
      <c r="L6" s="15">
        <v>72</v>
      </c>
      <c r="M6" s="60">
        <v>76</v>
      </c>
      <c r="N6" s="15"/>
      <c r="O6" s="54">
        <f>AVERAGE(L6:M6:N6)</f>
        <v>74</v>
      </c>
      <c r="P6" t="s">
        <v>472</v>
      </c>
    </row>
    <row r="7" spans="1:16" x14ac:dyDescent="0.35">
      <c r="A7" s="15">
        <v>41</v>
      </c>
      <c r="B7" s="61" t="s">
        <v>291</v>
      </c>
      <c r="C7" s="4" t="s">
        <v>267</v>
      </c>
      <c r="D7" s="15"/>
      <c r="E7" s="15">
        <v>70</v>
      </c>
      <c r="F7" s="15">
        <v>58</v>
      </c>
      <c r="G7" s="54">
        <f>AVERAGE(D7:E7:F7)</f>
        <v>64</v>
      </c>
      <c r="I7" s="15"/>
      <c r="J7" s="58" t="s">
        <v>289</v>
      </c>
      <c r="K7" s="4" t="s">
        <v>145</v>
      </c>
      <c r="L7" s="59">
        <v>83</v>
      </c>
      <c r="M7" s="59">
        <v>83</v>
      </c>
      <c r="N7" s="15"/>
      <c r="O7" s="65">
        <f>AVERAGE(L7:M7:N7)</f>
        <v>83</v>
      </c>
      <c r="P7" t="s">
        <v>492</v>
      </c>
    </row>
    <row r="8" spans="1:16" x14ac:dyDescent="0.35">
      <c r="A8" s="15">
        <v>1</v>
      </c>
      <c r="B8" s="61" t="s">
        <v>291</v>
      </c>
      <c r="C8" s="4" t="s">
        <v>249</v>
      </c>
      <c r="D8" s="59">
        <v>80</v>
      </c>
      <c r="E8" s="59">
        <v>86</v>
      </c>
      <c r="F8" s="15"/>
      <c r="G8" s="65">
        <f>AVERAGE(D8:E8:F8)</f>
        <v>83</v>
      </c>
      <c r="I8" s="4"/>
      <c r="J8" s="56" t="s">
        <v>288</v>
      </c>
      <c r="K8" s="4" t="s">
        <v>63</v>
      </c>
      <c r="L8" s="59">
        <v>83</v>
      </c>
      <c r="M8" s="59">
        <v>83</v>
      </c>
      <c r="N8" s="15"/>
      <c r="O8" s="65">
        <f>AVERAGE(L8:M8:N8)</f>
        <v>83</v>
      </c>
      <c r="P8" t="s">
        <v>370</v>
      </c>
    </row>
    <row r="9" spans="1:16" x14ac:dyDescent="0.35">
      <c r="A9" s="15">
        <v>23</v>
      </c>
      <c r="B9" s="58" t="s">
        <v>293</v>
      </c>
      <c r="C9" s="4" t="s">
        <v>254</v>
      </c>
      <c r="D9" s="59">
        <v>83</v>
      </c>
      <c r="E9" s="60">
        <v>75</v>
      </c>
      <c r="F9" s="15"/>
      <c r="G9" s="62">
        <f>AVERAGE(D9:E9:F9)</f>
        <v>79</v>
      </c>
      <c r="I9" s="4"/>
      <c r="J9" s="56" t="s">
        <v>288</v>
      </c>
      <c r="K9" s="4" t="s">
        <v>275</v>
      </c>
      <c r="L9" s="15">
        <v>71</v>
      </c>
      <c r="M9" s="60">
        <v>75</v>
      </c>
      <c r="N9" s="15"/>
      <c r="O9" s="54">
        <f>AVERAGE(L9:M9:N9)</f>
        <v>73</v>
      </c>
      <c r="P9" t="s">
        <v>493</v>
      </c>
    </row>
    <row r="10" spans="1:16" x14ac:dyDescent="0.35">
      <c r="A10" s="15"/>
      <c r="B10" s="58" t="s">
        <v>293</v>
      </c>
      <c r="C10" s="4" t="s">
        <v>494</v>
      </c>
      <c r="D10" s="15"/>
      <c r="E10" s="15">
        <v>73</v>
      </c>
      <c r="F10" s="15"/>
      <c r="G10" s="55"/>
      <c r="I10" s="15"/>
      <c r="J10" s="56" t="s">
        <v>287</v>
      </c>
      <c r="K10" s="4" t="s">
        <v>262</v>
      </c>
      <c r="L10" s="15"/>
      <c r="M10" s="15"/>
      <c r="N10" s="60">
        <v>72</v>
      </c>
      <c r="O10" s="54">
        <f>AVERAGE(L10:M10:N10)</f>
        <v>72</v>
      </c>
      <c r="P10" t="s">
        <v>586</v>
      </c>
    </row>
    <row r="11" spans="1:16" x14ac:dyDescent="0.35">
      <c r="A11" s="15"/>
      <c r="B11" s="58" t="s">
        <v>289</v>
      </c>
      <c r="C11" s="4" t="s">
        <v>253</v>
      </c>
      <c r="D11" s="59">
        <v>81</v>
      </c>
      <c r="E11" s="60">
        <v>79</v>
      </c>
      <c r="F11" s="15"/>
      <c r="G11" s="65">
        <f>AVERAGE(D11:E11:F11)</f>
        <v>80</v>
      </c>
    </row>
    <row r="12" spans="1:16" x14ac:dyDescent="0.35">
      <c r="A12" s="15">
        <v>38</v>
      </c>
      <c r="B12" s="58" t="s">
        <v>289</v>
      </c>
      <c r="C12" s="4" t="s">
        <v>256</v>
      </c>
      <c r="D12" s="15"/>
      <c r="E12" s="15">
        <v>73</v>
      </c>
      <c r="F12" s="59">
        <v>81</v>
      </c>
      <c r="G12" s="63">
        <f>AVERAGE(D12:E12:F12)</f>
        <v>77</v>
      </c>
    </row>
    <row r="13" spans="1:16" x14ac:dyDescent="0.35">
      <c r="A13" s="15">
        <v>14</v>
      </c>
      <c r="B13" s="56" t="s">
        <v>287</v>
      </c>
      <c r="C13" s="4" t="s">
        <v>258</v>
      </c>
      <c r="D13" s="60">
        <v>75</v>
      </c>
      <c r="E13" s="15">
        <v>71</v>
      </c>
      <c r="F13" s="15"/>
      <c r="G13" s="55">
        <f>AVERAGE(D13:E13:F13)</f>
        <v>73</v>
      </c>
    </row>
    <row r="14" spans="1:16" x14ac:dyDescent="0.35">
      <c r="A14" s="4">
        <v>18</v>
      </c>
      <c r="B14" s="56" t="s">
        <v>287</v>
      </c>
      <c r="C14" s="4" t="s">
        <v>264</v>
      </c>
      <c r="D14" s="60">
        <v>78</v>
      </c>
      <c r="E14" s="15">
        <v>74</v>
      </c>
      <c r="F14" s="15"/>
      <c r="G14" s="63">
        <f>AVERAGE(D14:E14:F14)</f>
        <v>76</v>
      </c>
    </row>
    <row r="15" spans="1:16" x14ac:dyDescent="0.35">
      <c r="A15" s="15">
        <v>10</v>
      </c>
      <c r="B15" s="56" t="s">
        <v>287</v>
      </c>
      <c r="C15" s="4" t="s">
        <v>337</v>
      </c>
      <c r="D15" s="15"/>
      <c r="E15" s="60">
        <v>79</v>
      </c>
      <c r="F15" s="15"/>
      <c r="G15" s="55"/>
    </row>
    <row r="16" spans="1:16" x14ac:dyDescent="0.35">
      <c r="A16" s="15">
        <v>7</v>
      </c>
      <c r="B16" s="56" t="s">
        <v>294</v>
      </c>
      <c r="C16" s="4" t="s">
        <v>13</v>
      </c>
      <c r="D16" s="59">
        <v>85</v>
      </c>
      <c r="E16" s="59">
        <v>86</v>
      </c>
      <c r="F16" s="15"/>
      <c r="G16" s="64">
        <f>AVERAGE(D16:E16:F16)</f>
        <v>85.5</v>
      </c>
    </row>
    <row r="17" spans="1:7" x14ac:dyDescent="0.35">
      <c r="A17" s="15">
        <v>8</v>
      </c>
      <c r="B17" s="56" t="s">
        <v>288</v>
      </c>
      <c r="C17" s="4" t="s">
        <v>87</v>
      </c>
      <c r="D17" s="59">
        <v>82</v>
      </c>
      <c r="E17" s="59">
        <v>80</v>
      </c>
      <c r="F17" s="15"/>
      <c r="G17" s="64">
        <f>AVERAGE(D17:E17:F17)</f>
        <v>81</v>
      </c>
    </row>
    <row r="18" spans="1:7" x14ac:dyDescent="0.35">
      <c r="A18" s="4">
        <v>16</v>
      </c>
      <c r="B18" s="56" t="s">
        <v>288</v>
      </c>
      <c r="C18" s="4" t="s">
        <v>229</v>
      </c>
      <c r="D18" s="59">
        <v>80</v>
      </c>
      <c r="E18" s="60">
        <v>77</v>
      </c>
      <c r="F18" s="15"/>
      <c r="G18" s="62">
        <f>AVERAGE(D18:E18:F18)</f>
        <v>78.5</v>
      </c>
    </row>
    <row r="19" spans="1:7" x14ac:dyDescent="0.35">
      <c r="A19" s="15">
        <v>17</v>
      </c>
      <c r="B19" s="57" t="s">
        <v>292</v>
      </c>
      <c r="C19" s="4" t="s">
        <v>398</v>
      </c>
      <c r="D19" s="15"/>
      <c r="E19" s="15">
        <v>74</v>
      </c>
      <c r="F19" s="15"/>
      <c r="G19" s="54">
        <f>AVERAGE(D19:E19:F19)</f>
        <v>74</v>
      </c>
    </row>
    <row r="20" spans="1:7" x14ac:dyDescent="0.35">
      <c r="A20" s="15"/>
      <c r="B20" s="57" t="s">
        <v>292</v>
      </c>
      <c r="C20" s="4" t="s">
        <v>500</v>
      </c>
      <c r="D20" s="15"/>
      <c r="E20" s="15">
        <v>70</v>
      </c>
      <c r="F20" s="15"/>
      <c r="G20" s="54">
        <f>AVERAGE(D20:E20:F20)</f>
        <v>70</v>
      </c>
    </row>
    <row r="21" spans="1:7" x14ac:dyDescent="0.35">
      <c r="A21" s="15"/>
      <c r="B21" s="57" t="s">
        <v>292</v>
      </c>
      <c r="C21" s="4" t="s">
        <v>501</v>
      </c>
      <c r="D21" s="15"/>
      <c r="E21" s="15">
        <v>69</v>
      </c>
      <c r="F21" s="15"/>
      <c r="G21" s="54">
        <f>AVERAGE(D21:E21:F21)</f>
        <v>69</v>
      </c>
    </row>
    <row r="22" spans="1:7" x14ac:dyDescent="0.35">
      <c r="A22" s="15">
        <v>15</v>
      </c>
      <c r="B22" s="56" t="s">
        <v>290</v>
      </c>
      <c r="C22" s="4" t="s">
        <v>228</v>
      </c>
      <c r="D22" s="59">
        <v>81</v>
      </c>
      <c r="E22" s="59">
        <v>81</v>
      </c>
      <c r="F22" s="15"/>
      <c r="G22" s="65">
        <f>AVERAGE(D22:E22:F22)</f>
        <v>81</v>
      </c>
    </row>
    <row r="23" spans="1:7" x14ac:dyDescent="0.35">
      <c r="A23" s="4"/>
      <c r="B23" s="56" t="s">
        <v>290</v>
      </c>
      <c r="C23" s="4" t="s">
        <v>269</v>
      </c>
      <c r="D23" s="60">
        <v>79</v>
      </c>
      <c r="E23" s="60">
        <v>79</v>
      </c>
      <c r="F23" s="15"/>
      <c r="G23" s="63">
        <f>AVERAGE(D23:E23:F23)</f>
        <v>79</v>
      </c>
    </row>
    <row r="24" spans="1:7" x14ac:dyDescent="0.35">
      <c r="A24" s="4">
        <v>18</v>
      </c>
      <c r="B24" s="56" t="s">
        <v>290</v>
      </c>
      <c r="C24" s="4" t="s">
        <v>261</v>
      </c>
      <c r="D24" s="15"/>
      <c r="E24" s="15">
        <v>71</v>
      </c>
      <c r="F24" s="15">
        <v>65</v>
      </c>
      <c r="G24" s="54">
        <f>AVERAGE(D24:E24:F24)</f>
        <v>68</v>
      </c>
    </row>
    <row r="25" spans="1:7" x14ac:dyDescent="0.35">
      <c r="A25" s="15">
        <v>5</v>
      </c>
      <c r="B25" s="56" t="s">
        <v>290</v>
      </c>
      <c r="C25" s="4" t="s">
        <v>260</v>
      </c>
      <c r="D25" s="15">
        <v>73</v>
      </c>
      <c r="E25" s="15">
        <v>74</v>
      </c>
      <c r="F25" s="15"/>
      <c r="G25" s="55">
        <f>AVERAGE(D25:E25:F25)</f>
        <v>73.5</v>
      </c>
    </row>
    <row r="26" spans="1:7" x14ac:dyDescent="0.35">
      <c r="A26" s="4"/>
      <c r="B26" s="58" t="s">
        <v>286</v>
      </c>
      <c r="C26" s="4" t="s">
        <v>268</v>
      </c>
      <c r="D26" s="59">
        <v>81</v>
      </c>
      <c r="E26" s="60">
        <v>76</v>
      </c>
      <c r="F26" s="15"/>
      <c r="G26" s="62">
        <f>AVERAGE(D26:E26:F26)</f>
        <v>78.5</v>
      </c>
    </row>
    <row r="27" spans="1:7" x14ac:dyDescent="0.35">
      <c r="A27" s="4">
        <v>21</v>
      </c>
      <c r="B27" s="58" t="s">
        <v>286</v>
      </c>
      <c r="C27" s="4" t="s">
        <v>265</v>
      </c>
      <c r="D27" s="59">
        <v>81</v>
      </c>
      <c r="E27" s="60">
        <v>75</v>
      </c>
      <c r="F27" s="15"/>
      <c r="G27" s="63">
        <f>AVERAGE(D27:E27:F27)</f>
        <v>78</v>
      </c>
    </row>
    <row r="28" spans="1:7" x14ac:dyDescent="0.35">
      <c r="A28" s="15">
        <v>30</v>
      </c>
      <c r="B28" s="58" t="s">
        <v>286</v>
      </c>
      <c r="C28" s="4" t="s">
        <v>263</v>
      </c>
      <c r="D28" s="15"/>
      <c r="E28" s="15">
        <v>74</v>
      </c>
      <c r="F28" s="15">
        <v>73</v>
      </c>
      <c r="G28" s="55">
        <f>AVERAGE(D28:E28:F28)</f>
        <v>73.5</v>
      </c>
    </row>
    <row r="29" spans="1:7" x14ac:dyDescent="0.35">
      <c r="A29" s="4"/>
      <c r="B29" s="58" t="s">
        <v>286</v>
      </c>
      <c r="C29" s="4" t="s">
        <v>285</v>
      </c>
      <c r="D29" s="15"/>
      <c r="E29" s="60">
        <v>78</v>
      </c>
      <c r="F29" s="15"/>
      <c r="G29" s="63">
        <f>AVERAGE(D29:E29:F29)</f>
        <v>78</v>
      </c>
    </row>
    <row r="30" spans="1:7" x14ac:dyDescent="0.35">
      <c r="A30" s="15">
        <v>34</v>
      </c>
      <c r="B30" s="58" t="s">
        <v>286</v>
      </c>
      <c r="C30" s="4" t="s">
        <v>259</v>
      </c>
      <c r="D30" s="15"/>
      <c r="E30" s="60">
        <v>77</v>
      </c>
      <c r="F30" s="60">
        <v>77</v>
      </c>
      <c r="G30" s="63">
        <f>AVERAGE(D30:E30:F30)</f>
        <v>77</v>
      </c>
    </row>
    <row r="31" spans="1:7" x14ac:dyDescent="0.35">
      <c r="A31" s="15">
        <v>4</v>
      </c>
      <c r="B31" s="58" t="s">
        <v>286</v>
      </c>
      <c r="C31" s="4" t="s">
        <v>69</v>
      </c>
      <c r="D31" s="59">
        <v>81</v>
      </c>
      <c r="E31" s="59">
        <v>83</v>
      </c>
      <c r="F31" s="15"/>
      <c r="G31" s="65">
        <f>AVERAGE(D31:E31:F31)</f>
        <v>82</v>
      </c>
    </row>
    <row r="32" spans="1:7" x14ac:dyDescent="0.35">
      <c r="D32" s="62">
        <f>AVERAGE(D3:D28)</f>
        <v>79.625</v>
      </c>
      <c r="E32" s="62">
        <f>AVERAGE(E3:E31)</f>
        <v>76.275862068965523</v>
      </c>
      <c r="F32" s="55">
        <f>AVERAGE(F3:F28)</f>
        <v>67.2</v>
      </c>
      <c r="G32" s="62">
        <f>AVERAGE(G3:G28)</f>
        <v>75.9375</v>
      </c>
    </row>
  </sheetData>
  <sortState xmlns:xlrd2="http://schemas.microsoft.com/office/spreadsheetml/2017/richdata2" ref="A2:G39">
    <sortCondition ref="B38"/>
  </sortState>
  <mergeCells count="2">
    <mergeCell ref="A1:G1"/>
    <mergeCell ref="I1:O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P33"/>
  <sheetViews>
    <sheetView workbookViewId="0">
      <selection activeCell="A17" sqref="A17:G17"/>
    </sheetView>
  </sheetViews>
  <sheetFormatPr defaultColWidth="8.81640625" defaultRowHeight="14.5" x14ac:dyDescent="0.35"/>
  <cols>
    <col min="1" max="1" width="3" style="1" bestFit="1" customWidth="1"/>
    <col min="2" max="2" width="5" style="1" bestFit="1" customWidth="1"/>
    <col min="3" max="3" width="16.1796875" bestFit="1" customWidth="1"/>
    <col min="4" max="4" width="5" style="1" bestFit="1" customWidth="1"/>
    <col min="5" max="5" width="8.6328125" style="1" bestFit="1" customWidth="1"/>
    <col min="6" max="6" width="3.81640625" bestFit="1" customWidth="1"/>
    <col min="9" max="9" width="3.453125" bestFit="1" customWidth="1"/>
    <col min="10" max="10" width="4.453125" bestFit="1" customWidth="1"/>
    <col min="11" max="11" width="14.36328125" bestFit="1" customWidth="1"/>
    <col min="12" max="12" width="4.453125" bestFit="1" customWidth="1"/>
    <col min="13" max="13" width="8.6328125" bestFit="1" customWidth="1"/>
    <col min="14" max="14" width="3.81640625" bestFit="1" customWidth="1"/>
    <col min="15" max="15" width="7" bestFit="1" customWidth="1"/>
  </cols>
  <sheetData>
    <row r="1" spans="1:16" x14ac:dyDescent="0.35">
      <c r="A1" s="106" t="s">
        <v>347</v>
      </c>
      <c r="B1" s="114"/>
      <c r="C1" s="114"/>
      <c r="D1" s="114"/>
      <c r="E1" s="114"/>
      <c r="F1" s="114"/>
      <c r="G1" s="107"/>
      <c r="I1" s="106" t="s">
        <v>348</v>
      </c>
      <c r="J1" s="114"/>
      <c r="K1" s="114"/>
      <c r="L1" s="114"/>
      <c r="M1" s="114"/>
      <c r="N1" s="114"/>
      <c r="O1" s="107"/>
    </row>
    <row r="2" spans="1:16" x14ac:dyDescent="0.35">
      <c r="A2" s="69" t="s">
        <v>299</v>
      </c>
      <c r="B2" s="69" t="s">
        <v>300</v>
      </c>
      <c r="C2" s="69" t="s">
        <v>166</v>
      </c>
      <c r="D2" s="69" t="s">
        <v>250</v>
      </c>
      <c r="E2" s="69" t="s">
        <v>251</v>
      </c>
      <c r="F2" s="69" t="s">
        <v>252</v>
      </c>
      <c r="G2" s="54" t="s">
        <v>204</v>
      </c>
      <c r="I2" s="69" t="s">
        <v>299</v>
      </c>
      <c r="J2" s="69" t="s">
        <v>300</v>
      </c>
      <c r="K2" s="69" t="s">
        <v>166</v>
      </c>
      <c r="L2" s="69" t="s">
        <v>250</v>
      </c>
      <c r="M2" s="69" t="s">
        <v>251</v>
      </c>
      <c r="N2" s="69" t="s">
        <v>252</v>
      </c>
      <c r="O2" s="54" t="s">
        <v>204</v>
      </c>
    </row>
    <row r="3" spans="1:16" x14ac:dyDescent="0.35">
      <c r="A3" s="15">
        <v>29</v>
      </c>
      <c r="B3" s="57" t="s">
        <v>295</v>
      </c>
      <c r="C3" s="4" t="s">
        <v>52</v>
      </c>
      <c r="D3" s="15">
        <v>74</v>
      </c>
      <c r="E3" s="15">
        <v>74</v>
      </c>
      <c r="F3" s="15"/>
      <c r="G3" s="54">
        <f>AVERAGE(D3:E3:F3)</f>
        <v>74</v>
      </c>
      <c r="I3" s="15"/>
      <c r="J3" s="57" t="s">
        <v>295</v>
      </c>
      <c r="K3" s="4" t="s">
        <v>356</v>
      </c>
      <c r="L3" s="15"/>
      <c r="M3" s="15">
        <v>0</v>
      </c>
      <c r="N3" s="15"/>
      <c r="O3" s="55">
        <f>AVERAGE(L3:M3:N3)</f>
        <v>0</v>
      </c>
      <c r="P3" t="s">
        <v>361</v>
      </c>
    </row>
    <row r="4" spans="1:16" x14ac:dyDescent="0.35">
      <c r="A4" s="15"/>
      <c r="B4" s="57" t="s">
        <v>295</v>
      </c>
      <c r="C4" s="4" t="s">
        <v>372</v>
      </c>
      <c r="D4" s="59">
        <v>81</v>
      </c>
      <c r="E4" s="60">
        <v>77</v>
      </c>
      <c r="F4" s="15"/>
      <c r="G4" s="62">
        <f>AVERAGE(D4:E4:F4)</f>
        <v>79</v>
      </c>
      <c r="I4" s="15"/>
      <c r="J4" s="57" t="s">
        <v>295</v>
      </c>
      <c r="K4" s="4" t="s">
        <v>360</v>
      </c>
      <c r="L4" s="15"/>
      <c r="M4" s="15">
        <v>56</v>
      </c>
      <c r="N4" s="15"/>
      <c r="O4" s="55">
        <f>AVERAGE(L4:M4:N4)</f>
        <v>56</v>
      </c>
    </row>
    <row r="5" spans="1:16" x14ac:dyDescent="0.35">
      <c r="A5" s="15">
        <v>46</v>
      </c>
      <c r="B5" s="61" t="s">
        <v>291</v>
      </c>
      <c r="C5" s="4" t="s">
        <v>296</v>
      </c>
      <c r="D5" s="15"/>
      <c r="E5" s="15">
        <v>72</v>
      </c>
      <c r="F5" s="15"/>
      <c r="G5" s="54">
        <f>AVERAGE(D5:E5:F5)</f>
        <v>72</v>
      </c>
      <c r="I5" s="15"/>
      <c r="J5" s="58" t="s">
        <v>293</v>
      </c>
      <c r="K5" s="4" t="s">
        <v>273</v>
      </c>
      <c r="L5" s="59">
        <v>86</v>
      </c>
      <c r="M5" s="60">
        <v>79</v>
      </c>
      <c r="N5" s="15"/>
      <c r="O5" s="64">
        <f>AVERAGE(L5:M5:N5)</f>
        <v>82.5</v>
      </c>
      <c r="P5" t="s">
        <v>365</v>
      </c>
    </row>
    <row r="6" spans="1:16" x14ac:dyDescent="0.35">
      <c r="A6" s="15">
        <v>12</v>
      </c>
      <c r="B6" s="61" t="s">
        <v>291</v>
      </c>
      <c r="C6" s="4" t="s">
        <v>274</v>
      </c>
      <c r="D6" s="15"/>
      <c r="E6" s="60">
        <v>77</v>
      </c>
      <c r="F6" s="15"/>
      <c r="G6" s="62">
        <f>AVERAGE(D6:E6:F6)</f>
        <v>77</v>
      </c>
      <c r="I6" s="15"/>
      <c r="J6" s="56" t="s">
        <v>288</v>
      </c>
      <c r="K6" s="4" t="s">
        <v>358</v>
      </c>
      <c r="L6" s="15"/>
      <c r="M6" s="15">
        <v>0</v>
      </c>
      <c r="N6" s="15"/>
      <c r="O6" s="55">
        <f>AVERAGE(L6:M6:N6)</f>
        <v>0</v>
      </c>
    </row>
    <row r="7" spans="1:16" x14ac:dyDescent="0.35">
      <c r="A7" s="15">
        <v>47</v>
      </c>
      <c r="B7" s="61" t="s">
        <v>291</v>
      </c>
      <c r="C7" s="4" t="s">
        <v>503</v>
      </c>
      <c r="D7" s="15"/>
      <c r="E7" s="15">
        <v>70</v>
      </c>
      <c r="F7" s="15">
        <v>70</v>
      </c>
      <c r="G7" s="54">
        <f>AVERAGE(D7:E7:F7)</f>
        <v>70</v>
      </c>
      <c r="I7" s="15"/>
      <c r="J7" s="56" t="s">
        <v>288</v>
      </c>
      <c r="K7" s="4" t="s">
        <v>359</v>
      </c>
      <c r="L7" s="15"/>
      <c r="M7" s="60">
        <v>76</v>
      </c>
      <c r="N7" s="15"/>
      <c r="O7" s="62">
        <f>AVERAGE(L7:M7:N7)</f>
        <v>76</v>
      </c>
    </row>
    <row r="8" spans="1:16" x14ac:dyDescent="0.35">
      <c r="A8" s="15"/>
      <c r="B8" s="61" t="s">
        <v>291</v>
      </c>
      <c r="C8" s="4" t="s">
        <v>502</v>
      </c>
      <c r="D8" s="15"/>
      <c r="E8" s="15">
        <v>69</v>
      </c>
      <c r="F8" s="15"/>
      <c r="G8" s="54">
        <f>AVERAGE(D8:E8:F8)</f>
        <v>69</v>
      </c>
      <c r="I8" s="15"/>
      <c r="J8" s="56" t="s">
        <v>290</v>
      </c>
      <c r="K8" s="4" t="s">
        <v>278</v>
      </c>
      <c r="L8" s="60">
        <v>76</v>
      </c>
      <c r="M8" s="15">
        <v>74</v>
      </c>
      <c r="N8" s="15"/>
      <c r="O8" s="62">
        <f>AVERAGE(L8:M8:N8)</f>
        <v>75</v>
      </c>
    </row>
    <row r="9" spans="1:16" x14ac:dyDescent="0.35">
      <c r="A9" s="15">
        <v>35</v>
      </c>
      <c r="B9" s="58" t="s">
        <v>293</v>
      </c>
      <c r="C9" s="4" t="s">
        <v>274</v>
      </c>
      <c r="D9" s="15"/>
      <c r="E9" s="15"/>
      <c r="F9" s="15">
        <v>72</v>
      </c>
      <c r="G9" s="54">
        <f>AVERAGE(D9:E9:F9)</f>
        <v>72</v>
      </c>
      <c r="I9" s="15"/>
      <c r="J9" s="58" t="s">
        <v>286</v>
      </c>
      <c r="K9" s="4" t="s">
        <v>144</v>
      </c>
      <c r="L9" s="15"/>
      <c r="M9" s="15">
        <v>0</v>
      </c>
      <c r="N9" s="15"/>
      <c r="O9" s="55">
        <f>AVERAGE(L9:M9:N9)</f>
        <v>0</v>
      </c>
      <c r="P9" t="s">
        <v>361</v>
      </c>
    </row>
    <row r="10" spans="1:16" x14ac:dyDescent="0.35">
      <c r="A10" s="15">
        <v>2</v>
      </c>
      <c r="B10" s="58" t="s">
        <v>293</v>
      </c>
      <c r="C10" s="4" t="s">
        <v>46</v>
      </c>
      <c r="D10" s="59">
        <v>82</v>
      </c>
      <c r="E10" s="60">
        <v>78</v>
      </c>
      <c r="F10" s="15"/>
      <c r="G10" s="65">
        <f>AVERAGE(D10:E10:F10)</f>
        <v>80</v>
      </c>
      <c r="I10" s="15"/>
      <c r="J10" s="58" t="s">
        <v>286</v>
      </c>
      <c r="K10" s="4" t="s">
        <v>357</v>
      </c>
      <c r="L10" s="15"/>
      <c r="M10" s="60">
        <v>78</v>
      </c>
      <c r="N10" s="15"/>
      <c r="O10" s="62">
        <f>AVERAGE(L10:M10:N10)</f>
        <v>78</v>
      </c>
    </row>
    <row r="11" spans="1:16" x14ac:dyDescent="0.35">
      <c r="A11" s="15"/>
      <c r="B11" s="58" t="s">
        <v>293</v>
      </c>
      <c r="C11" s="4" t="s">
        <v>464</v>
      </c>
      <c r="D11" s="15"/>
      <c r="E11" s="15">
        <v>74</v>
      </c>
      <c r="F11" s="15"/>
      <c r="G11" s="63">
        <f>AVERAGE(D11:E11:F11)</f>
        <v>74</v>
      </c>
      <c r="I11" s="15"/>
      <c r="J11" s="57" t="s">
        <v>295</v>
      </c>
      <c r="K11" s="4" t="s">
        <v>366</v>
      </c>
      <c r="L11" s="15"/>
      <c r="M11" s="60">
        <v>76</v>
      </c>
      <c r="N11" s="15"/>
      <c r="O11" s="62">
        <f>AVERAGE(L11:M11:N11)</f>
        <v>76</v>
      </c>
      <c r="P11" t="s">
        <v>368</v>
      </c>
    </row>
    <row r="12" spans="1:16" x14ac:dyDescent="0.35">
      <c r="A12" s="15">
        <v>6</v>
      </c>
      <c r="B12" s="58" t="s">
        <v>289</v>
      </c>
      <c r="C12" s="4" t="s">
        <v>275</v>
      </c>
      <c r="D12" s="59">
        <v>83</v>
      </c>
      <c r="E12" s="60">
        <v>75</v>
      </c>
      <c r="F12" s="15"/>
      <c r="G12" s="62">
        <f>AVERAGE(D12:E12:F12)</f>
        <v>79</v>
      </c>
      <c r="I12" s="15"/>
      <c r="J12" s="56" t="s">
        <v>290</v>
      </c>
      <c r="K12" s="4" t="s">
        <v>367</v>
      </c>
      <c r="L12" s="15"/>
      <c r="M12" s="15">
        <v>0</v>
      </c>
      <c r="N12" s="15"/>
      <c r="O12" s="55">
        <f>AVERAGE(L12:M12:N12)</f>
        <v>0</v>
      </c>
    </row>
    <row r="13" spans="1:16" x14ac:dyDescent="0.35">
      <c r="A13" s="15">
        <v>83</v>
      </c>
      <c r="B13" s="56" t="s">
        <v>287</v>
      </c>
      <c r="C13" s="4" t="s">
        <v>338</v>
      </c>
      <c r="D13" s="15"/>
      <c r="E13" s="59">
        <v>80</v>
      </c>
      <c r="F13" s="15"/>
      <c r="G13" s="65">
        <f>AVERAGE(D13:E13:F13)</f>
        <v>80</v>
      </c>
      <c r="I13" s="15"/>
      <c r="J13" s="56" t="s">
        <v>290</v>
      </c>
      <c r="K13" s="4" t="s">
        <v>61</v>
      </c>
      <c r="L13" s="15"/>
      <c r="M13" s="60">
        <v>79</v>
      </c>
      <c r="N13" s="15"/>
      <c r="O13" s="62">
        <f>AVERAGE(L13:M13:N13)</f>
        <v>79</v>
      </c>
      <c r="P13" t="s">
        <v>369</v>
      </c>
    </row>
    <row r="14" spans="1:16" x14ac:dyDescent="0.35">
      <c r="A14" s="15">
        <v>39</v>
      </c>
      <c r="B14" s="56" t="s">
        <v>287</v>
      </c>
      <c r="C14" s="4" t="s">
        <v>283</v>
      </c>
      <c r="D14" s="15"/>
      <c r="E14" s="15"/>
      <c r="F14" s="15">
        <v>73</v>
      </c>
      <c r="G14" s="54">
        <f>AVERAGE(D14:E14:F14)</f>
        <v>73</v>
      </c>
      <c r="I14" s="15"/>
      <c r="J14" s="56" t="s">
        <v>287</v>
      </c>
      <c r="K14" s="4" t="s">
        <v>57</v>
      </c>
      <c r="L14" s="15"/>
      <c r="M14" s="59">
        <v>83</v>
      </c>
      <c r="N14" s="15"/>
      <c r="O14" s="64">
        <f>AVERAGE(L14:M14:N14)</f>
        <v>83</v>
      </c>
      <c r="P14" t="s">
        <v>370</v>
      </c>
    </row>
    <row r="15" spans="1:16" x14ac:dyDescent="0.35">
      <c r="A15" s="15">
        <v>40</v>
      </c>
      <c r="B15" s="56" t="s">
        <v>287</v>
      </c>
      <c r="C15" s="4" t="s">
        <v>282</v>
      </c>
      <c r="D15" s="15">
        <v>69</v>
      </c>
      <c r="E15" s="15">
        <v>71</v>
      </c>
      <c r="F15" s="15"/>
      <c r="G15" s="55">
        <f>AVERAGE(D15:E15:F15)</f>
        <v>70</v>
      </c>
      <c r="I15" s="15">
        <v>17</v>
      </c>
      <c r="J15" s="56" t="s">
        <v>287</v>
      </c>
      <c r="K15" s="4" t="s">
        <v>62</v>
      </c>
      <c r="L15" s="15">
        <v>74</v>
      </c>
      <c r="M15" s="15">
        <v>70</v>
      </c>
      <c r="N15" s="15"/>
      <c r="O15" s="54">
        <f>AVERAGE(L15:M15:N15)</f>
        <v>72</v>
      </c>
    </row>
    <row r="16" spans="1:16" x14ac:dyDescent="0.35">
      <c r="A16" s="15">
        <v>21</v>
      </c>
      <c r="B16" s="56" t="s">
        <v>287</v>
      </c>
      <c r="C16" s="4" t="s">
        <v>281</v>
      </c>
      <c r="D16" s="15"/>
      <c r="E16" s="15">
        <v>68</v>
      </c>
      <c r="F16" s="15">
        <v>68</v>
      </c>
      <c r="G16" s="55">
        <f>AVERAGE(D16:E16:F16)</f>
        <v>68</v>
      </c>
    </row>
    <row r="17" spans="1:7" x14ac:dyDescent="0.35">
      <c r="A17" s="15">
        <v>87</v>
      </c>
      <c r="B17" s="56" t="s">
        <v>288</v>
      </c>
      <c r="C17" s="4" t="s">
        <v>478</v>
      </c>
      <c r="D17" s="15"/>
      <c r="E17" s="15"/>
      <c r="F17" s="15"/>
      <c r="G17" s="54"/>
    </row>
    <row r="18" spans="1:7" x14ac:dyDescent="0.35">
      <c r="A18" s="15">
        <v>10</v>
      </c>
      <c r="B18" s="56" t="s">
        <v>287</v>
      </c>
      <c r="C18" s="4" t="s">
        <v>280</v>
      </c>
      <c r="D18" s="59">
        <v>82</v>
      </c>
      <c r="E18" s="59">
        <v>83</v>
      </c>
      <c r="F18" s="15"/>
      <c r="G18" s="64">
        <f>AVERAGE(D18:E18:F18)</f>
        <v>82.5</v>
      </c>
    </row>
    <row r="19" spans="1:7" x14ac:dyDescent="0.35">
      <c r="A19" s="15">
        <v>7</v>
      </c>
      <c r="B19" s="57" t="s">
        <v>297</v>
      </c>
      <c r="C19" s="4" t="s">
        <v>244</v>
      </c>
      <c r="D19" s="60">
        <v>78</v>
      </c>
      <c r="E19" s="60">
        <v>76</v>
      </c>
      <c r="F19" s="15"/>
      <c r="G19" s="63">
        <f>AVERAGE(D19:E19:F19)</f>
        <v>77</v>
      </c>
    </row>
    <row r="20" spans="1:7" x14ac:dyDescent="0.35">
      <c r="A20" s="15">
        <v>11</v>
      </c>
      <c r="B20" s="57" t="s">
        <v>298</v>
      </c>
      <c r="C20" s="4" t="s">
        <v>22</v>
      </c>
      <c r="D20" s="60">
        <v>78</v>
      </c>
      <c r="E20" s="60">
        <v>79</v>
      </c>
      <c r="F20" s="15"/>
      <c r="G20" s="62">
        <f>AVERAGE(D20:E20:F20)</f>
        <v>78.5</v>
      </c>
    </row>
    <row r="21" spans="1:7" x14ac:dyDescent="0.35">
      <c r="A21" s="15">
        <v>25</v>
      </c>
      <c r="B21" s="57" t="s">
        <v>292</v>
      </c>
      <c r="C21" s="4" t="s">
        <v>284</v>
      </c>
      <c r="D21" s="15">
        <v>65</v>
      </c>
      <c r="E21" s="15">
        <v>68</v>
      </c>
      <c r="F21" s="15"/>
      <c r="G21" s="55">
        <f>AVERAGE(D21:E21:F21)</f>
        <v>66.5</v>
      </c>
    </row>
    <row r="22" spans="1:7" x14ac:dyDescent="0.35">
      <c r="A22" s="15">
        <v>23</v>
      </c>
      <c r="B22" s="56" t="s">
        <v>290</v>
      </c>
      <c r="C22" s="4" t="s">
        <v>88</v>
      </c>
      <c r="D22" s="15">
        <v>73</v>
      </c>
      <c r="E22" s="60">
        <v>76</v>
      </c>
      <c r="F22" s="15"/>
      <c r="G22" s="62">
        <f>AVERAGE(D22:E22:F22)</f>
        <v>74.5</v>
      </c>
    </row>
    <row r="23" spans="1:7" x14ac:dyDescent="0.35">
      <c r="A23" s="15">
        <v>38</v>
      </c>
      <c r="B23" s="56" t="s">
        <v>290</v>
      </c>
      <c r="C23" s="4" t="s">
        <v>276</v>
      </c>
      <c r="D23" s="15"/>
      <c r="E23" s="15"/>
      <c r="F23" s="15">
        <v>73</v>
      </c>
      <c r="G23" s="54">
        <f>AVERAGE(D23:E23:F23)</f>
        <v>73</v>
      </c>
    </row>
    <row r="24" spans="1:7" x14ac:dyDescent="0.35">
      <c r="A24" s="15">
        <v>16</v>
      </c>
      <c r="B24" s="56" t="s">
        <v>290</v>
      </c>
      <c r="C24" s="4" t="s">
        <v>279</v>
      </c>
      <c r="D24" s="15">
        <v>71</v>
      </c>
      <c r="E24" s="15">
        <v>70</v>
      </c>
      <c r="F24" s="15"/>
      <c r="G24" s="55">
        <f>AVERAGE(D24:E24:F24)</f>
        <v>70.5</v>
      </c>
    </row>
    <row r="25" spans="1:7" x14ac:dyDescent="0.35">
      <c r="A25" s="15">
        <v>8</v>
      </c>
      <c r="B25" s="56" t="s">
        <v>290</v>
      </c>
      <c r="C25" s="4" t="s">
        <v>277</v>
      </c>
      <c r="D25" s="60">
        <v>78</v>
      </c>
      <c r="E25" s="60">
        <v>75</v>
      </c>
      <c r="F25" s="15"/>
      <c r="G25" s="62">
        <f>AVERAGE(D25:E25:F25)</f>
        <v>76.5</v>
      </c>
    </row>
    <row r="26" spans="1:7" x14ac:dyDescent="0.35">
      <c r="A26" s="15">
        <v>20</v>
      </c>
      <c r="B26" s="56" t="s">
        <v>290</v>
      </c>
      <c r="C26" s="4" t="s">
        <v>21</v>
      </c>
      <c r="D26" s="59">
        <v>83</v>
      </c>
      <c r="E26" s="59">
        <v>81</v>
      </c>
      <c r="F26" s="15"/>
      <c r="G26" s="64">
        <f>AVERAGE(D26:E26:F26)</f>
        <v>82</v>
      </c>
    </row>
    <row r="27" spans="1:7" x14ac:dyDescent="0.35">
      <c r="A27" s="15">
        <v>33</v>
      </c>
      <c r="B27" s="58" t="s">
        <v>286</v>
      </c>
      <c r="C27" s="4" t="s">
        <v>272</v>
      </c>
      <c r="D27" s="59">
        <v>83</v>
      </c>
      <c r="E27" s="60">
        <v>78</v>
      </c>
      <c r="F27" s="15"/>
      <c r="G27" s="64">
        <f>AVERAGE(D27:E27:F27)</f>
        <v>80.5</v>
      </c>
    </row>
    <row r="28" spans="1:7" x14ac:dyDescent="0.35">
      <c r="A28" s="15">
        <v>3</v>
      </c>
      <c r="B28" s="58" t="s">
        <v>286</v>
      </c>
      <c r="C28" s="4" t="s">
        <v>12</v>
      </c>
      <c r="D28" s="59">
        <v>81</v>
      </c>
      <c r="E28" s="59">
        <v>81</v>
      </c>
      <c r="F28" s="15"/>
      <c r="G28" s="65">
        <f>AVERAGE(D28:E28:F28)</f>
        <v>81</v>
      </c>
    </row>
    <row r="29" spans="1:7" x14ac:dyDescent="0.35">
      <c r="A29" s="15">
        <v>36</v>
      </c>
      <c r="B29" s="58" t="s">
        <v>286</v>
      </c>
      <c r="C29" s="4" t="s">
        <v>180</v>
      </c>
      <c r="D29" s="60">
        <v>75</v>
      </c>
      <c r="E29" s="60">
        <v>77</v>
      </c>
      <c r="F29" s="15"/>
      <c r="G29" s="63">
        <f>AVERAGE(D29:E29:F29)</f>
        <v>76</v>
      </c>
    </row>
    <row r="30" spans="1:7" x14ac:dyDescent="0.35">
      <c r="A30" s="15">
        <v>15</v>
      </c>
      <c r="B30" s="58" t="s">
        <v>286</v>
      </c>
      <c r="C30" s="4" t="s">
        <v>271</v>
      </c>
      <c r="D30" s="59">
        <v>81</v>
      </c>
      <c r="E30" s="60">
        <v>77</v>
      </c>
      <c r="F30" s="15"/>
      <c r="G30" s="65">
        <f>AVERAGE(D30:E30:F30)</f>
        <v>79</v>
      </c>
    </row>
    <row r="31" spans="1:7" x14ac:dyDescent="0.35">
      <c r="A31" s="15">
        <v>4</v>
      </c>
      <c r="B31" s="58" t="s">
        <v>286</v>
      </c>
      <c r="C31" s="4" t="s">
        <v>51</v>
      </c>
      <c r="D31" s="59">
        <v>81</v>
      </c>
      <c r="E31" s="60">
        <v>79</v>
      </c>
      <c r="F31" s="15"/>
      <c r="G31" s="65">
        <f>AVERAGE(D31:E31:F31)</f>
        <v>80</v>
      </c>
    </row>
    <row r="32" spans="1:7" x14ac:dyDescent="0.35">
      <c r="A32" s="15">
        <v>34</v>
      </c>
      <c r="B32" s="58" t="s">
        <v>286</v>
      </c>
      <c r="C32" s="4" t="s">
        <v>260</v>
      </c>
      <c r="D32" s="15"/>
      <c r="E32" s="15">
        <v>71</v>
      </c>
      <c r="F32" s="60">
        <v>75</v>
      </c>
      <c r="G32" s="54">
        <f>AVERAGE(D32:E32:F32)</f>
        <v>73</v>
      </c>
    </row>
    <row r="33" spans="4:7" x14ac:dyDescent="0.35">
      <c r="D33" s="62">
        <f>AVERAGE(D3:D32)</f>
        <v>77.666666666666671</v>
      </c>
      <c r="E33" s="62">
        <f>AVERAGE(E3:E32)</f>
        <v>75.230769230769226</v>
      </c>
      <c r="F33" s="55">
        <f>AVERAGE(F3:F32)</f>
        <v>71.833333333333329</v>
      </c>
      <c r="G33" s="62">
        <f>AVERAGE(G3:G32)</f>
        <v>75.431034482758619</v>
      </c>
    </row>
  </sheetData>
  <sortState xmlns:xlrd2="http://schemas.microsoft.com/office/spreadsheetml/2017/richdata2" ref="I3:O10">
    <sortCondition ref="J3"/>
  </sortState>
  <mergeCells count="2">
    <mergeCell ref="A1:G1"/>
    <mergeCell ref="I1:O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N5"/>
  <sheetViews>
    <sheetView topLeftCell="K1" workbookViewId="0">
      <selection activeCell="J11" sqref="J11"/>
    </sheetView>
  </sheetViews>
  <sheetFormatPr defaultColWidth="8.81640625" defaultRowHeight="14.5" x14ac:dyDescent="0.35"/>
  <cols>
    <col min="1" max="2" width="9.36328125" bestFit="1" customWidth="1"/>
    <col min="3" max="3" width="2.81640625" customWidth="1"/>
    <col min="4" max="4" width="11.36328125" bestFit="1" customWidth="1"/>
    <col min="5" max="5" width="12.1796875" bestFit="1" customWidth="1"/>
    <col min="6" max="6" width="2.81640625" customWidth="1"/>
    <col min="7" max="7" width="12.36328125" bestFit="1" customWidth="1"/>
    <col min="8" max="8" width="11.453125" bestFit="1" customWidth="1"/>
    <col min="9" max="9" width="2.81640625" customWidth="1"/>
    <col min="10" max="11" width="11.453125" customWidth="1"/>
    <col min="12" max="12" width="2.81640625" customWidth="1"/>
    <col min="13" max="14" width="9.36328125" bestFit="1" customWidth="1"/>
  </cols>
  <sheetData>
    <row r="1" spans="1:14" x14ac:dyDescent="0.35">
      <c r="A1" s="111" t="s">
        <v>76</v>
      </c>
      <c r="B1" s="111"/>
      <c r="D1" s="106" t="s">
        <v>75</v>
      </c>
      <c r="E1" s="107"/>
      <c r="G1" s="106" t="s">
        <v>81</v>
      </c>
      <c r="H1" s="107"/>
      <c r="J1" s="106" t="s">
        <v>82</v>
      </c>
      <c r="K1" s="107"/>
      <c r="M1" s="106" t="s">
        <v>83</v>
      </c>
      <c r="N1" s="107"/>
    </row>
    <row r="2" spans="1:14" x14ac:dyDescent="0.35">
      <c r="A2" s="22" t="s">
        <v>1</v>
      </c>
      <c r="B2" s="22" t="s">
        <v>2</v>
      </c>
      <c r="D2" s="22" t="s">
        <v>1</v>
      </c>
      <c r="E2" s="22" t="s">
        <v>2</v>
      </c>
      <c r="G2" s="22" t="s">
        <v>1</v>
      </c>
      <c r="H2" s="22" t="s">
        <v>2</v>
      </c>
      <c r="J2" s="22" t="s">
        <v>1</v>
      </c>
      <c r="K2" s="22" t="s">
        <v>2</v>
      </c>
      <c r="M2" s="22" t="s">
        <v>1</v>
      </c>
      <c r="N2" s="22" t="s">
        <v>2</v>
      </c>
    </row>
    <row r="3" spans="1:14" x14ac:dyDescent="0.35">
      <c r="A3" s="15" t="s">
        <v>658</v>
      </c>
      <c r="B3" s="15" t="s">
        <v>654</v>
      </c>
      <c r="D3" s="15" t="s">
        <v>77</v>
      </c>
      <c r="E3" s="15" t="s">
        <v>173</v>
      </c>
      <c r="G3" s="15" t="s">
        <v>528</v>
      </c>
      <c r="H3" s="15" t="s">
        <v>214</v>
      </c>
      <c r="J3" s="15" t="s">
        <v>328</v>
      </c>
      <c r="K3" s="15" t="s">
        <v>134</v>
      </c>
      <c r="M3" s="15" t="s">
        <v>657</v>
      </c>
      <c r="N3" s="15" t="s">
        <v>654</v>
      </c>
    </row>
    <row r="4" spans="1:14" x14ac:dyDescent="0.35">
      <c r="A4" s="15" t="s">
        <v>659</v>
      </c>
      <c r="B4" s="15" t="s">
        <v>655</v>
      </c>
      <c r="D4" s="28" t="s">
        <v>78</v>
      </c>
      <c r="E4" s="28" t="s">
        <v>79</v>
      </c>
      <c r="G4" s="30" t="s">
        <v>171</v>
      </c>
      <c r="H4" s="30" t="s">
        <v>213</v>
      </c>
      <c r="J4" s="31" t="s">
        <v>329</v>
      </c>
      <c r="K4" s="31" t="s">
        <v>215</v>
      </c>
      <c r="M4" s="31" t="s">
        <v>656</v>
      </c>
      <c r="N4" s="31" t="s">
        <v>106</v>
      </c>
    </row>
    <row r="5" spans="1:14" x14ac:dyDescent="0.35">
      <c r="D5" s="29" t="s">
        <v>80</v>
      </c>
      <c r="E5" s="29" t="s">
        <v>172</v>
      </c>
      <c r="G5" s="27"/>
      <c r="H5" s="27"/>
    </row>
  </sheetData>
  <mergeCells count="5"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Jogos</vt:lpstr>
      <vt:lpstr>Artilharia</vt:lpstr>
      <vt:lpstr>Cartões</vt:lpstr>
      <vt:lpstr>Lesões</vt:lpstr>
      <vt:lpstr>PedroNetu</vt:lpstr>
      <vt:lpstr>Stats São Paulo</vt:lpstr>
      <vt:lpstr>Stats Palmeiras</vt:lpstr>
      <vt:lpstr>Estatisticas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Netu</dc:creator>
  <cp:lastModifiedBy>EA - Julia Cruz Martins</cp:lastModifiedBy>
  <dcterms:created xsi:type="dcterms:W3CDTF">2011-03-05T21:46:41Z</dcterms:created>
  <dcterms:modified xsi:type="dcterms:W3CDTF">2026-06-28T16:04:24Z</dcterms:modified>
</cp:coreProperties>
</file>